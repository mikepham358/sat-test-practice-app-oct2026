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_Strategies" sheetId="1" state="visible" r:id="rId1"/>
    <sheet xmlns:r="http://schemas.openxmlformats.org/officeDocument/2006/relationships" name="Performance_Summary" sheetId="2" state="visible" r:id="rId2"/>
    <sheet xmlns:r="http://schemas.openxmlformats.org/officeDocument/2006/relationships" name="SAT_Error_Log_Tracker" sheetId="3" state="visible" r:id="rId3"/>
    <sheet xmlns:r="http://schemas.openxmlformats.org/officeDocument/2006/relationships" name="RW_Module1" sheetId="4" state="visible" r:id="rId4"/>
    <sheet xmlns:r="http://schemas.openxmlformats.org/officeDocument/2006/relationships" name="RW_Module2" sheetId="5" state="visible" r:id="rId5"/>
    <sheet xmlns:r="http://schemas.openxmlformats.org/officeDocument/2006/relationships" name="Math_Module1" sheetId="6" state="visible" r:id="rId6"/>
    <sheet xmlns:r="http://schemas.openxmlformats.org/officeDocument/2006/relationships" name="Math_Module2" sheetId="7" state="visible" r:id="rId7"/>
    <sheet xmlns:r="http://schemas.openxmlformats.org/officeDocument/2006/relationships" name="Master_All_98_Question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color theme="1"/>
      <sz val="11"/>
      <scheme val="minor"/>
    </font>
    <font>
      <name val="Calibri"/>
      <b val="1"/>
      <color rgb="FF1F4E78"/>
      <sz val="14"/>
    </font>
    <font>
      <name val="Calibri"/>
      <i val="1"/>
      <color rgb="FF595959"/>
      <sz val="11"/>
    </font>
    <font>
      <name val="Calibri"/>
      <b val="1"/>
      <color rgb="FFFFFFFF"/>
      <sz val="11"/>
    </font>
    <font>
      <name val="Calibri"/>
      <b val="1"/>
      <color rgb="FFFFFFFF"/>
      <sz val="10"/>
    </font>
    <font>
      <name val="Calibri"/>
      <color theme="1"/>
      <sz val="11"/>
    </font>
    <font>
      <name val="Calibri"/>
      <b val="1"/>
      <color theme="1"/>
      <sz val="12"/>
    </font>
    <font>
      <name val="Calibri"/>
      <b val="1"/>
      <color theme="1"/>
      <sz val="11"/>
    </font>
    <font>
      <name val="Segoe UI"/>
      <b val="1"/>
      <color rgb="00FFFFFF"/>
      <sz val="14"/>
    </font>
    <font>
      <name val="Segoe UI"/>
      <b val="1"/>
      <color rgb="001E293B"/>
      <sz val="11"/>
    </font>
    <font>
      <name val="Segoe UI"/>
      <color rgb="00334155"/>
      <sz val="11"/>
    </font>
    <font>
      <name val="Segoe UI"/>
      <b val="1"/>
      <color rgb="000369A1"/>
      <sz val="12"/>
    </font>
    <font>
      <name val="Segoe UI"/>
      <color rgb="000F172A"/>
      <sz val="11"/>
    </font>
    <font>
      <name val="Segoe UI"/>
      <b val="1"/>
      <color rgb="00FFFFFF"/>
      <sz val="11"/>
    </font>
  </fonts>
  <fills count="11">
    <fill>
      <patternFill/>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000F172A"/>
        <bgColor rgb="000F172A"/>
      </patternFill>
    </fill>
    <fill>
      <patternFill patternType="solid">
        <fgColor rgb="00E0F2FE"/>
        <bgColor rgb="00E0F2FE"/>
      </patternFill>
    </fill>
    <fill>
      <patternFill patternType="solid">
        <fgColor rgb="000284C7"/>
        <bgColor rgb="000284C7"/>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5" fillId="0" borderId="3" applyAlignment="1" pivotButton="0" quotePrefix="0" xfId="0">
      <alignment horizontal="left" vertical="center" wrapText="1"/>
    </xf>
    <xf numFmtId="0" fontId="6"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7" fillId="4" borderId="2" applyAlignment="1" pivotButton="0" quotePrefix="0" xfId="0">
      <alignment horizontal="center" vertical="center" wrapText="1"/>
    </xf>
    <xf numFmtId="0" fontId="7" fillId="6" borderId="2" applyAlignment="1" pivotButton="0" quotePrefix="0" xfId="0">
      <alignment horizontal="center" vertical="center" wrapText="1"/>
    </xf>
    <xf numFmtId="0" fontId="7" fillId="5" borderId="3" applyAlignment="1" pivotButton="0" quotePrefix="0" xfId="0">
      <alignment horizontal="center" vertical="center" wrapText="1"/>
    </xf>
    <xf numFmtId="0" fontId="7" fillId="7" borderId="2" applyAlignment="1" pivotButton="0" quotePrefix="0" xfId="0">
      <alignment horizontal="center" vertical="center" wrapText="1"/>
    </xf>
    <xf numFmtId="0" fontId="5" fillId="0" borderId="3" applyAlignment="1" pivotButton="0" quotePrefix="0" xfId="0">
      <alignment horizontal="right" vertical="center"/>
    </xf>
    <xf numFmtId="164" fontId="5" fillId="0" borderId="3" applyAlignment="1" pivotButton="0" quotePrefix="0" xfId="0">
      <alignment horizontal="right" vertical="center"/>
    </xf>
    <xf numFmtId="0" fontId="7" fillId="5" borderId="3"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3" borderId="1" applyAlignment="1" pivotButton="0" quotePrefix="0" xfId="0">
      <alignment horizontal="right" vertical="center"/>
    </xf>
    <xf numFmtId="164" fontId="3" fillId="3" borderId="1" applyAlignment="1" pivotButton="0" quotePrefix="0" xfId="0">
      <alignment horizontal="right" vertical="center"/>
    </xf>
    <xf numFmtId="0" fontId="0" fillId="0" borderId="0" pivotButton="0" quotePrefix="0" xfId="0"/>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9"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11" fillId="9" borderId="3" applyAlignment="1" pivotButton="0" quotePrefix="0" xfId="0">
      <alignment horizontal="left" vertical="center" wrapText="1"/>
    </xf>
    <xf numFmtId="0" fontId="5" fillId="9" borderId="3" applyAlignment="1" pivotButton="0" quotePrefix="0" xfId="0">
      <alignment horizontal="left" vertical="center" wrapText="1"/>
    </xf>
    <xf numFmtId="0" fontId="12" fillId="0" borderId="3" applyAlignment="1" pivotButton="0" quotePrefix="0" xfId="0">
      <alignment horizontal="left" vertical="center" wrapText="1"/>
    </xf>
    <xf numFmtId="0" fontId="12" fillId="0" borderId="0" pivotButton="0" quotePrefix="0" xfId="0"/>
    <xf numFmtId="0" fontId="13" fillId="10" borderId="0" applyAlignment="1" pivotButton="0" quotePrefix="0" xfId="0">
      <alignment horizontal="center" vertical="center"/>
    </xf>
    <xf numFmtId="0" fontId="4" fillId="0" borderId="2" applyAlignment="1" pivotButton="0" quotePrefix="0" xfId="0">
      <alignment horizontal="center" vertical="center" wrapText="1"/>
    </xf>
    <xf numFmtId="0" fontId="7" fillId="0" borderId="2"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edudirectory.withgoogle.com/profiles/5087615831769088" TargetMode="External" Id="rId1"/></Relationships>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ColWidth="14.43" defaultRowHeight="15" customHeight="1"/>
  <cols>
    <col width="30" customWidth="1" style="19" min="1" max="1"/>
    <col width="50" customWidth="1" style="19" min="2" max="2"/>
    <col width="50" customWidth="1" style="19" min="3" max="3"/>
    <col width="45" customWidth="1" style="19" min="4" max="4"/>
    <col width="8.710000000000001" customWidth="1" style="19" min="5" max="26"/>
  </cols>
  <sheetData>
    <row r="1">
      <c r="A1" s="20" t="inlineStr">
        <is>
          <t>BÁO CÁO KẾT QUẢ DIGITAL SAT BLUEBOOK</t>
        </is>
      </c>
      <c r="B1" s="21" t="inlineStr"/>
    </row>
    <row r="2">
      <c r="A2" s="22" t="inlineStr">
        <is>
          <t>Đề thi</t>
        </is>
      </c>
      <c r="B2" s="23" t="inlineStr">
        <is>
          <t>Digital SAT Practice Test — October 2026 (INT-B)</t>
        </is>
      </c>
    </row>
    <row r="3">
      <c r="A3" s="22" t="inlineStr">
        <is>
          <t>Học sinh</t>
        </is>
      </c>
      <c r="B3" s="23" t="inlineStr">
        <is>
          <t>Học sinh</t>
        </is>
      </c>
    </row>
    <row r="4">
      <c r="A4" s="24" t="inlineStr">
        <is>
          <t>Email học sinh</t>
        </is>
      </c>
      <c r="B4" s="25" t="inlineStr">
        <is>
          <t>Chưa cung cấp</t>
        </is>
      </c>
      <c r="C4" s="26" t="n"/>
      <c r="D4" s="26" t="n"/>
    </row>
    <row r="5">
      <c r="A5" s="27" t="inlineStr">
        <is>
          <t>Mục tiêu điểm</t>
        </is>
      </c>
      <c r="B5" s="28" t="inlineStr">
        <is>
          <t>1400+</t>
        </is>
      </c>
      <c r="C5" s="5" t="n"/>
      <c r="D5" s="5" t="n"/>
    </row>
    <row r="6">
      <c r="A6" s="27" t="inlineStr">
        <is>
          <t>Thời gian nộp</t>
        </is>
      </c>
      <c r="B6" s="28" t="inlineStr">
        <is>
          <t>---</t>
        </is>
      </c>
      <c r="C6" s="5" t="n"/>
      <c r="D6" s="5" t="n"/>
    </row>
    <row r="7">
      <c r="A7" s="27" t="inlineStr">
        <is>
          <t>Giáo viên phụ trách</t>
        </is>
      </c>
      <c r="B7" s="28" t="inlineStr">
        <is>
          <t>Mike Pham Bá Hong Son (Google for Education Innovator: https://edudirectory.withgoogle.com/profiles/5087615831769088) - mikepham358@gmail.com</t>
        </is>
      </c>
      <c r="C7" s="5" t="n"/>
      <c r="D7" s="5" t="n"/>
    </row>
    <row r="8">
      <c r="A8" s="27" t="inlineStr">
        <is>
          <t>Nguồn tài liệu</t>
        </is>
      </c>
      <c r="B8" s="28" t="inlineStr">
        <is>
          <t>Tham khảo từ hocsat.com</t>
        </is>
      </c>
      <c r="C8" s="5" t="n"/>
      <c r="D8" s="5" t="n"/>
    </row>
    <row r="9">
      <c r="A9" s="5" t="n"/>
      <c r="B9" s="5" t="n"/>
      <c r="C9" s="5" t="n"/>
      <c r="D9" s="5" t="n"/>
    </row>
    <row r="10">
      <c r="A10" s="29" t="inlineStr">
        <is>
          <t>BẢNG TỔNG KẾT ĐIỂM SỐ</t>
        </is>
      </c>
      <c r="B10" s="30" t="inlineStr"/>
      <c r="C10" s="5" t="n"/>
      <c r="D10" s="5" t="n"/>
    </row>
    <row r="11">
      <c r="A11" s="27" t="inlineStr">
        <is>
          <t>Tổng số câu</t>
        </is>
      </c>
      <c r="B11" s="31">
        <f>Performance_Summary!D9</f>
        <v/>
      </c>
      <c r="C11" s="5" t="n"/>
      <c r="D11" s="5" t="n"/>
    </row>
    <row r="12">
      <c r="A12" s="22" t="inlineStr">
        <is>
          <t>Số câu đã làm</t>
        </is>
      </c>
      <c r="B12" s="32">
        <f>Performance_Summary!E9</f>
        <v/>
      </c>
    </row>
    <row r="13">
      <c r="A13" s="22" t="inlineStr">
        <is>
          <t>Số câu đúng Lần 1 (100%)</t>
        </is>
      </c>
      <c r="B13" s="32">
        <f>Performance_Summary!F9</f>
        <v/>
      </c>
    </row>
    <row r="14">
      <c r="A14" s="22" t="inlineStr">
        <is>
          <t>Số câu đúng Lần 2 (66.7%)</t>
        </is>
      </c>
      <c r="B14" s="32">
        <f>COUNTIF(RW_Module1!M5:M31, "✅ Đúng ở L2") + COUNTIF(RW_Module2!M5:M31, "✅ Đúng ở L2") + COUNTIF(Math_Module1!M5:M26, "✅ Đúng ở L2") + COUNTIF(Math_Module2!M5:M26, "✅ Đúng ở L2")</f>
        <v/>
      </c>
    </row>
    <row r="15">
      <c r="A15" s="22" t="inlineStr">
        <is>
          <t>Số câu đúng Lần 3 (33.3%)</t>
        </is>
      </c>
      <c r="B15" s="32">
        <f>COUNTIF(RW_Module1!M5:M31, "✅ Đúng ở L3") + COUNTIF(RW_Module2!M5:M31, "✅ Đúng ở L3") + COUNTIF(Math_Module1!M5:M26, "✅ Đúng ở L3") + COUNTIF(Math_Module2!M5:M26, "✅ Đúng ở L3")</f>
        <v/>
      </c>
    </row>
    <row r="16">
      <c r="A16" s="22" t="inlineStr">
        <is>
          <t>Hiệu suất điểm</t>
        </is>
      </c>
      <c r="B16" s="32">
        <f>Performance_Summary!K9</f>
        <v/>
      </c>
    </row>
    <row r="17">
      <c r="A17" s="22" t="inlineStr">
        <is>
          <t>Điểm ước tính</t>
        </is>
      </c>
      <c r="B17" s="32">
        <f>ROUND(400 + Performance_Summary!K9 * 1200, 0) &amp; " / 1600"</f>
        <v/>
      </c>
    </row>
    <row r="18">
      <c r="A18" s="22" t="inlineStr">
        <is>
          <t>Số lần thử sai ghi sổ</t>
        </is>
      </c>
      <c r="B18" s="32">
        <f>COUNTA(SAT_Error_Log_Tracker!A2:A100)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hyperlinks>
    <hyperlink xmlns:r="http://schemas.openxmlformats.org/officeDocument/2006/relationships" ref="B7" r:id="rId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ColWidth="14.43" defaultRowHeight="15" customHeight="1"/>
  <cols>
    <col width="8" customWidth="1" style="19" min="1" max="1"/>
    <col width="30" customWidth="1" style="19" min="2" max="2"/>
    <col width="20" customWidth="1" style="19" min="3" max="3"/>
    <col width="15" customWidth="1" style="19" min="4" max="7"/>
    <col width="18" customWidth="1" style="19" min="8" max="8"/>
    <col width="15" customWidth="1" style="19" min="9" max="9"/>
    <col width="20" customWidth="1" style="19" min="10" max="10"/>
    <col width="22" customWidth="1" style="19" min="11" max="11"/>
    <col width="8.710000000000001" customWidth="1" style="19" min="12" max="26"/>
  </cols>
  <sheetData>
    <row r="1">
      <c r="A1" s="1" t="inlineStr">
        <is>
          <t>BẢNG TỔNG HỢP KẾT QUẢ VÀ THEO DÕI TIẾN ĐỘ (OCTOBER 2026 TEST)</t>
        </is>
      </c>
    </row>
    <row r="2">
      <c r="A2" s="2" t="inlineStr">
        <is>
          <t>Tự động cập nhật số câu đã làm, số lần đúng ngay Lần 1, đếm số cột sai và điểm hiệu suất (%) theo thời gian thực</t>
        </is>
      </c>
    </row>
    <row r="4">
      <c r="A4" s="3" t="inlineStr">
        <is>
          <t>STT</t>
        </is>
      </c>
      <c r="B4" s="3" t="inlineStr">
        <is>
          <t>Tên Module / Phân vùng</t>
        </is>
      </c>
      <c r="C4" s="3" t="inlineStr">
        <is>
          <t>Tên Tab trong Excel</t>
        </is>
      </c>
      <c r="D4" s="3" t="inlineStr">
        <is>
          <t>Tổng số câu</t>
        </is>
      </c>
      <c r="E4" s="3" t="inlineStr">
        <is>
          <t>Đã làm Lần 1</t>
        </is>
      </c>
      <c r="F4" s="3" t="inlineStr">
        <is>
          <t>Đúng ngay L1</t>
        </is>
      </c>
      <c r="G4" s="3" t="inlineStr">
        <is>
          <t>Đúng ở L2/L3</t>
        </is>
      </c>
      <c r="H4" s="3" t="inlineStr">
        <is>
          <t>Tổng số cột Sai</t>
        </is>
      </c>
      <c r="I4" s="3" t="inlineStr">
        <is>
          <t>Chưa đúng</t>
        </is>
      </c>
      <c r="J4" s="3" t="inlineStr">
        <is>
          <t>Tỷ lệ Đúng L1 (%)</t>
        </is>
      </c>
      <c r="K4" s="3" t="inlineStr">
        <is>
          <t>Điểm Hiệu suất TB (%)</t>
        </is>
      </c>
    </row>
    <row r="5">
      <c r="A5" s="7" t="n">
        <v>1</v>
      </c>
      <c r="B5" s="5" t="inlineStr">
        <is>
          <t>Reading &amp; Writing Module 1</t>
        </is>
      </c>
      <c r="C5" s="7" t="inlineStr">
        <is>
          <t>RW_Module1</t>
        </is>
      </c>
      <c r="D5" s="12">
        <f>COUNTA(RW_Module1!A5:A31)</f>
        <v/>
      </c>
      <c r="E5" s="12">
        <f>COUNTIF(RW_Module1!F5:F31, "&lt;&gt;")</f>
        <v/>
      </c>
      <c r="F5" s="12">
        <f>COUNTIF(RW_Module1!G5:G31, "✅ Đúng")</f>
        <v/>
      </c>
      <c r="G5" s="12">
        <f>COUNTIF(RW_Module1!M5:M31, "✅ Đúng ở L2") + COUNTIF(RW_Module1!M5:M31, "✅ Đúng ở L3")</f>
        <v/>
      </c>
      <c r="H5" s="12">
        <f>SUM(RW_Module1!L5:L31)</f>
        <v/>
      </c>
      <c r="I5" s="12">
        <f>D5 - F5 - G5</f>
        <v/>
      </c>
      <c r="J5" s="13">
        <f>IF(E5&gt;0, F5/E5, 0)</f>
        <v/>
      </c>
      <c r="K5" s="13">
        <f>IF(D5&gt;0, AVERAGE(RW_Module1!N5:N31), 0)</f>
        <v/>
      </c>
    </row>
    <row r="6">
      <c r="A6" s="7" t="n">
        <v>2</v>
      </c>
      <c r="B6" s="5" t="inlineStr">
        <is>
          <t>Reading &amp; Writing Module 2</t>
        </is>
      </c>
      <c r="C6" s="7" t="inlineStr">
        <is>
          <t>RW_Module2</t>
        </is>
      </c>
      <c r="D6" s="12">
        <f>COUNTA(RW_Module2!A5:A31)</f>
        <v/>
      </c>
      <c r="E6" s="12">
        <f>COUNTIF(RW_Module2!F5:F31, "&lt;&gt;")</f>
        <v/>
      </c>
      <c r="F6" s="12">
        <f>COUNTIF(RW_Module2!G5:G31, "✅ Đúng")</f>
        <v/>
      </c>
      <c r="G6" s="12">
        <f>COUNTIF(RW_Module2!M5:M31, "✅ Đúng ở L2") + COUNTIF(RW_Module2!M5:M31, "✅ Đúng ở L3")</f>
        <v/>
      </c>
      <c r="H6" s="12">
        <f>SUM(RW_Module2!L5:L31)</f>
        <v/>
      </c>
      <c r="I6" s="12">
        <f>D6 - F6 - G6</f>
        <v/>
      </c>
      <c r="J6" s="13">
        <f>IF(E6&gt;0, F6/E6, 0)</f>
        <v/>
      </c>
      <c r="K6" s="13">
        <f>IF(D6&gt;0, AVERAGE(RW_Module2!N5:N31), 0)</f>
        <v/>
      </c>
    </row>
    <row r="7">
      <c r="A7" s="7" t="n">
        <v>3</v>
      </c>
      <c r="B7" s="5" t="inlineStr">
        <is>
          <t>Math Module 1</t>
        </is>
      </c>
      <c r="C7" s="7" t="inlineStr">
        <is>
          <t>Math_Module1</t>
        </is>
      </c>
      <c r="D7" s="12">
        <f>COUNTA(Math_Module1!A5:A26)</f>
        <v/>
      </c>
      <c r="E7" s="12">
        <f>COUNTIF(Math_Module1!F5:F26, "&lt;&gt;")</f>
        <v/>
      </c>
      <c r="F7" s="12">
        <f>COUNTIF(Math_Module1!G5:G26, "✅ Đúng")</f>
        <v/>
      </c>
      <c r="G7" s="12">
        <f>COUNTIF(Math_Module1!M5:M26, "✅ Đúng ở L2") + COUNTIF(Math_Module1!M5:M26, "✅ Đúng ở L3")</f>
        <v/>
      </c>
      <c r="H7" s="12">
        <f>SUM(Math_Module1!L5:L26)</f>
        <v/>
      </c>
      <c r="I7" s="12">
        <f>D7 - F7 - G7</f>
        <v/>
      </c>
      <c r="J7" s="13">
        <f>IF(E7&gt;0, F7/E7, 0)</f>
        <v/>
      </c>
      <c r="K7" s="13">
        <f>IF(D7&gt;0, AVERAGE(Math_Module1!N5:N26), 0)</f>
        <v/>
      </c>
    </row>
    <row r="8">
      <c r="A8" s="7" t="n">
        <v>4</v>
      </c>
      <c r="B8" s="5" t="inlineStr">
        <is>
          <t>Math Module 2</t>
        </is>
      </c>
      <c r="C8" s="7" t="inlineStr">
        <is>
          <t>Math_Module2</t>
        </is>
      </c>
      <c r="D8" s="12">
        <f>COUNTA(Math_Module2!A5:A26)</f>
        <v/>
      </c>
      <c r="E8" s="12">
        <f>COUNTIF(Math_Module2!F5:F26, "&lt;&gt;")</f>
        <v/>
      </c>
      <c r="F8" s="12">
        <f>COUNTIF(Math_Module2!G5:G26, "✅ Đúng")</f>
        <v/>
      </c>
      <c r="G8" s="12">
        <f>COUNTIF(Math_Module2!M5:M26, "✅ Đúng ở L2") + COUNTIF(Math_Module2!M5:M26, "✅ Đúng ở L3")</f>
        <v/>
      </c>
      <c r="H8" s="12">
        <f>SUM(Math_Module2!L5:L26)</f>
        <v/>
      </c>
      <c r="I8" s="12">
        <f>D8 - F8 - G8</f>
        <v/>
      </c>
      <c r="J8" s="13">
        <f>IF(E8&gt;0, F8/E8, 0)</f>
        <v/>
      </c>
      <c r="K8" s="13">
        <f>IF(D8&gt;0, AVERAGE(Math_Module2!N5:N26), 0)</f>
        <v/>
      </c>
    </row>
    <row r="9">
      <c r="A9" s="15" t="n"/>
      <c r="B9" s="16" t="inlineStr">
        <is>
          <t>TỔNG CỘNG TOÀN BỘ ĐỀ THI</t>
        </is>
      </c>
      <c r="C9" s="15" t="inlineStr">
        <is>
          <t>---</t>
        </is>
      </c>
      <c r="D9" s="17">
        <f>SUM(D5:D8)</f>
        <v/>
      </c>
      <c r="E9" s="17">
        <f>SUM(E5:E8)</f>
        <v/>
      </c>
      <c r="F9" s="17">
        <f>SUM(F5:F8)</f>
        <v/>
      </c>
      <c r="G9" s="17">
        <f>SUM(G5:G8)</f>
        <v/>
      </c>
      <c r="H9" s="17">
        <f>SUM(H5:H8)</f>
        <v/>
      </c>
      <c r="I9" s="17">
        <f>SUM(I5:I8)</f>
        <v/>
      </c>
      <c r="J9" s="18">
        <f>IF(E9&gt;0, F9/E9, 0)</f>
        <v/>
      </c>
      <c r="K9" s="18">
        <f>IF(D9&gt;0, AVERAGE(K5:K8), 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ColWidth="14.43" defaultRowHeight="15" customHeight="1"/>
  <cols>
    <col width="8" customWidth="1" style="19" min="1" max="1"/>
    <col width="14" customWidth="1" style="19" min="2" max="2"/>
    <col width="18" customWidth="1" style="19" min="3" max="3"/>
    <col width="28" customWidth="1" style="19" min="4" max="4"/>
    <col width="30" customWidth="1" style="19" min="5" max="5"/>
    <col width="42" customWidth="1" style="19" min="6" max="6"/>
    <col width="35" customWidth="1" style="19" min="7" max="7"/>
    <col width="35" customWidth="1" style="19" min="8" max="8"/>
    <col width="16" customWidth="1" style="19" min="9" max="9"/>
    <col width="18" customWidth="1" style="19" min="10" max="10"/>
    <col width="8.710000000000001" customWidth="1" style="19" min="11" max="26"/>
  </cols>
  <sheetData>
    <row r="1">
      <c r="A1" s="33" t="inlineStr">
        <is>
          <t>STT</t>
        </is>
      </c>
      <c r="B1" s="33" t="inlineStr">
        <is>
          <t>Mã câu</t>
        </is>
      </c>
      <c r="C1" s="33" t="inlineStr">
        <is>
          <t>Module</t>
        </is>
      </c>
      <c r="D1" s="33" t="inlineStr">
        <is>
          <t>Chủ đề / Kỹ năng</t>
        </is>
      </c>
      <c r="E1" s="33" t="inlineStr">
        <is>
          <t>Nhóm bẫy SAT</t>
        </is>
      </c>
      <c r="F1" s="33" t="inlineStr">
        <is>
          <t>Phân tích nguyên nhân &amp; Bài học</t>
        </is>
      </c>
      <c r="G1" s="33" t="inlineStr">
        <is>
          <t>Ghi chú tư duy</t>
        </is>
      </c>
      <c r="H1" s="33" t="inlineStr">
        <is>
          <t>Từ mới / Thuật ngữ</t>
        </is>
      </c>
      <c r="I1" s="33" t="inlineStr">
        <is>
          <t>Tình trạng</t>
        </is>
      </c>
      <c r="J1" s="33" t="inlineStr">
        <is>
          <t>Thời gian</t>
        </is>
      </c>
    </row>
    <row r="2">
      <c r="A2" s="2" t="n"/>
      <c r="E2" s="34" t="n"/>
      <c r="F2" s="34" t="n"/>
      <c r="G2" s="34" t="n"/>
      <c r="H2" s="34" t="n"/>
      <c r="I2" s="34" t="n"/>
    </row>
    <row r="3">
      <c r="E3" s="6" t="n"/>
      <c r="F3" s="6" t="n"/>
      <c r="G3" s="6" t="n"/>
      <c r="H3" s="6" t="n"/>
      <c r="I3" s="6" t="n"/>
    </row>
    <row r="6">
      <c r="A6" s="35" t="n"/>
      <c r="D6" s="35" t="n"/>
      <c r="G6" s="35" t="n"/>
    </row>
    <row r="7">
      <c r="A7" s="5" t="n"/>
      <c r="D7" s="5" t="n"/>
      <c r="G7" s="5" t="n"/>
    </row>
    <row r="8">
      <c r="A8" s="5" t="n"/>
      <c r="D8" s="5" t="n"/>
      <c r="G8" s="5" t="n"/>
    </row>
    <row r="9">
      <c r="A9" s="5" t="n"/>
      <c r="D9" s="5" t="n"/>
      <c r="G9" s="5" t="n"/>
    </row>
    <row r="10">
      <c r="D10" s="5" t="n"/>
    </row>
    <row r="13">
      <c r="A13" s="1" t="n"/>
    </row>
    <row r="15">
      <c r="A15" s="26" t="n"/>
      <c r="B15" s="26" t="n"/>
      <c r="C15" s="26" t="n"/>
      <c r="D15" s="26" t="n"/>
      <c r="E15" s="26" t="n"/>
      <c r="F15" s="26" t="n"/>
      <c r="G15" s="26" t="n"/>
      <c r="H15" s="26" t="n"/>
      <c r="I15" s="26" t="n"/>
      <c r="J15" s="26" t="n"/>
    </row>
    <row r="16">
      <c r="A16" s="7" t="n"/>
      <c r="B16" s="7" t="n"/>
      <c r="C16" s="5" t="n"/>
      <c r="D16" s="5" t="n"/>
      <c r="E16" s="5" t="n"/>
      <c r="F16" s="5" t="n"/>
      <c r="G16" s="5" t="n"/>
      <c r="H16" s="7" t="n"/>
      <c r="I16" s="7" t="n"/>
      <c r="J16" s="5" t="n"/>
    </row>
    <row r="17">
      <c r="A17" s="7" t="n"/>
      <c r="B17" s="7" t="n"/>
      <c r="C17" s="5" t="n"/>
      <c r="D17" s="5" t="n"/>
      <c r="E17" s="5" t="n"/>
      <c r="F17" s="5" t="n"/>
      <c r="G17" s="5" t="n"/>
      <c r="H17" s="7" t="n"/>
      <c r="I17" s="7" t="n"/>
      <c r="J17" s="5" t="n"/>
    </row>
    <row r="18">
      <c r="A18" s="7" t="n"/>
      <c r="B18" s="7" t="n"/>
      <c r="C18" s="5" t="n"/>
      <c r="D18" s="5" t="n"/>
      <c r="E18" s="5" t="n"/>
      <c r="F18" s="5" t="n"/>
      <c r="G18" s="5" t="n"/>
      <c r="H18" s="7" t="n"/>
      <c r="I18" s="7" t="n"/>
      <c r="J18" s="5" t="n"/>
    </row>
    <row r="19">
      <c r="A19" s="7" t="n"/>
      <c r="B19" s="7" t="n"/>
      <c r="C19" s="5" t="n"/>
      <c r="D19" s="5" t="n"/>
      <c r="E19" s="5" t="n"/>
      <c r="F19" s="5" t="n"/>
      <c r="G19" s="5" t="n"/>
      <c r="H19" s="7" t="n"/>
      <c r="I19" s="7" t="n"/>
      <c r="J19" s="5" t="n"/>
    </row>
    <row r="20">
      <c r="A20" s="7" t="n"/>
      <c r="B20" s="7" t="n"/>
      <c r="C20" s="5" t="n"/>
      <c r="D20" s="5" t="n"/>
      <c r="E20" s="5" t="n"/>
      <c r="F20" s="5" t="n"/>
      <c r="G20" s="5" t="n"/>
      <c r="H20" s="7" t="n"/>
      <c r="I20" s="7" t="n"/>
      <c r="J20" s="5" t="n"/>
    </row>
    <row r="21" ht="15.75" customHeight="1" s="19">
      <c r="A21" s="7" t="n"/>
      <c r="B21" s="7" t="n"/>
      <c r="C21" s="5" t="n"/>
      <c r="D21" s="5" t="n"/>
      <c r="E21" s="5" t="n"/>
      <c r="F21" s="5" t="n"/>
      <c r="G21" s="5" t="n"/>
      <c r="H21" s="7" t="n"/>
      <c r="I21" s="7" t="n"/>
      <c r="J21" s="5" t="n"/>
    </row>
    <row r="22" ht="15.75" customHeight="1" s="19">
      <c r="A22" s="7" t="n"/>
      <c r="B22" s="7" t="n"/>
      <c r="C22" s="5" t="n"/>
      <c r="D22" s="5" t="n"/>
      <c r="E22" s="5" t="n"/>
      <c r="F22" s="5" t="n"/>
      <c r="G22" s="5" t="n"/>
      <c r="H22" s="7" t="n"/>
      <c r="I22" s="7" t="n"/>
      <c r="J22" s="5" t="n"/>
    </row>
    <row r="23" ht="15.75" customHeight="1" s="19">
      <c r="A23" s="7" t="n"/>
      <c r="B23" s="7" t="n"/>
      <c r="C23" s="5" t="n"/>
      <c r="D23" s="5" t="n"/>
      <c r="E23" s="5" t="n"/>
      <c r="F23" s="5" t="n"/>
      <c r="G23" s="5" t="n"/>
      <c r="H23" s="7" t="n"/>
      <c r="I23" s="7" t="n"/>
      <c r="J23" s="5" t="n"/>
    </row>
    <row r="24" ht="15.75" customHeight="1" s="19">
      <c r="A24" s="7" t="n"/>
      <c r="B24" s="7" t="n"/>
      <c r="C24" s="5" t="n"/>
      <c r="D24" s="5" t="n"/>
      <c r="E24" s="5" t="n"/>
      <c r="F24" s="5" t="n"/>
      <c r="G24" s="5" t="n"/>
      <c r="H24" s="7" t="n"/>
      <c r="I24" s="7" t="n"/>
      <c r="J24" s="5" t="n"/>
    </row>
    <row r="25" ht="15.75" customHeight="1" s="19">
      <c r="A25" s="7" t="n"/>
      <c r="B25" s="7" t="n"/>
      <c r="C25" s="5" t="n"/>
      <c r="D25" s="5" t="n"/>
      <c r="E25" s="5" t="n"/>
      <c r="F25" s="5" t="n"/>
      <c r="G25" s="5" t="n"/>
      <c r="H25" s="7" t="n"/>
      <c r="I25" s="7" t="n"/>
      <c r="J25" s="5" t="n"/>
    </row>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(Precision)</t>
        </is>
      </c>
      <c r="C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IF(UPPER(TRIM(F5))="B", "✅ Đúng", "❌ Sai"))</f>
        <v/>
      </c>
      <c r="H5" s="14" t="n"/>
      <c r="I5" s="7">
        <f>IF(ISBLANK(H5), "", IF(UPPER(TRIM(H5))="B", "✅ Đúng", "❌ Sai"))</f>
        <v/>
      </c>
      <c r="J5" s="14" t="n"/>
      <c r="K5" s="7">
        <f>IF(ISBLANK(J5), "", IF(UPPER(TRIM(J5))="B",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P5" s="5">
        <f>IF(OR(G5="✅ Đúng", I5="✅ Đúng", K5="✅ Đúng"), "Isolating = identifying/singling out the specific cause of a problem.", "🔒 Trả lời đúng để mở khóa Strategic Tip!")</f>
        <v/>
      </c>
    </row>
    <row r="6">
      <c r="A6" s="7" t="inlineStr">
        <is>
          <t>Q2</t>
        </is>
      </c>
      <c r="B6" s="5" t="inlineStr">
        <is>
          <t>Vocabulary in Context (Biological Processes)</t>
        </is>
      </c>
      <c r="C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IF(UPPER(TRIM(F6))="D", "✅ Đúng", "❌ Sai"))</f>
        <v/>
      </c>
      <c r="H6" s="14" t="n"/>
      <c r="I6" s="7">
        <f>IF(ISBLANK(H6), "", IF(UPPER(TRIM(H6))="D", "✅ Đúng", "❌ Sai"))</f>
        <v/>
      </c>
      <c r="J6" s="14" t="n"/>
      <c r="K6" s="7">
        <f>IF(ISBLANK(J6), "", IF(UPPER(TRIM(J6))="D",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P6" s="5">
        <f>IF(OR(G6="✅ Đúng", I6="✅ Đúng", K6="✅ Đúng"), "Regulate = control or maintain at a steady level.", "🔒 Trả lời đúng để mở khóa Strategic Tip!")</f>
        <v/>
      </c>
    </row>
    <row r="7">
      <c r="A7" s="7" t="inlineStr">
        <is>
          <t>Q3</t>
        </is>
      </c>
      <c r="B7" s="5" t="inlineStr">
        <is>
          <t>Vocabulary in Context (Research Approaches)</t>
        </is>
      </c>
      <c r="C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IF(UPPER(TRIM(F7))="B", "✅ Đúng", "❌ Sai"))</f>
        <v/>
      </c>
      <c r="H7" s="14" t="n"/>
      <c r="I7" s="7">
        <f>IF(ISBLANK(H7), "", IF(UPPER(TRIM(H7))="B", "✅ Đúng", "❌ Sai"))</f>
        <v/>
      </c>
      <c r="J7" s="14" t="n"/>
      <c r="K7" s="7">
        <f>IF(ISBLANK(J7), "", IF(UPPER(TRIM(J7))="B",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P7" s="5">
        <f>IF(OR(G7="✅ Đúng", I7="✅ Đúng", K7="✅ Đúng"), "Innovative = introducing new, original, or unusual methods.", "🔒 Trả lời đúng để mở khóa Strategic Tip!")</f>
        <v/>
      </c>
    </row>
    <row r="8">
      <c r="A8" s="7" t="inlineStr">
        <is>
          <t>Q4</t>
        </is>
      </c>
      <c r="B8" s="5" t="inlineStr">
        <is>
          <t>Vocabulary in Context (Sufficiency)</t>
        </is>
      </c>
      <c r="C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IF(UPPER(TRIM(F8))="C", "✅ Đúng", "❌ Sai"))</f>
        <v/>
      </c>
      <c r="H8" s="14" t="n"/>
      <c r="I8" s="7">
        <f>IF(ISBLANK(H8), "", IF(UPPER(TRIM(H8))="C", "✅ Đúng", "❌ Sai"))</f>
        <v/>
      </c>
      <c r="J8" s="14" t="n"/>
      <c r="K8" s="7">
        <f>IF(ISBLANK(J8), "", IF(UPPER(TRIM(J8))="C",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P8" s="5">
        <f>IF(OR(G8="✅ Đúng", I8="✅ Đúng", K8="✅ Đúng"), "Sufficient = adequate or enough for a specific requirement.", "🔒 Trả lời đúng để mở khóa Strategic Tip!")</f>
        <v/>
      </c>
    </row>
    <row r="9">
      <c r="A9" s="7" t="inlineStr">
        <is>
          <t>Q5</t>
        </is>
      </c>
      <c r="B9" s="5" t="inlineStr">
        <is>
          <t>Text Structure &amp; Overall Purpose</t>
        </is>
      </c>
      <c r="C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D9" s="5" t="inlineStr">
        <is>
          <t>Which choice best describes the overall structure of the text?</t>
        </is>
      </c>
      <c r="E9" s="5" t="inlineStr">
        <is>
          <t>A. Lựa chọn A
B. Lựa chọn B
C. Lựa chọn C
D. Lựa chọn D</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P9" s="5">
        <f>IF(OR(G9="✅ Đúng", I9="✅ Đúng", K9="✅ Đúng"), "Mô hình cấu trúc: Question -&gt; Multiple Explanations/Answers.", "🔒 Trả lời đúng để mở khóa Strategic Tip!")</f>
        <v/>
      </c>
    </row>
    <row r="10">
      <c r="A10" s="7" t="inlineStr">
        <is>
          <t>Q6</t>
        </is>
      </c>
      <c r="B10" s="5" t="inlineStr">
        <is>
          <t>Main Purpose (Literary Narrative)</t>
        </is>
      </c>
      <c r="C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D10" s="5" t="inlineStr">
        <is>
          <t>Which choice best states the main purpose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P10" s="5">
        <f>IF(OR(G10="✅ Đúng", I10="✅ Đúng", K10="✅ Đúng"), "Văn xuôi hư cấu: Biểu hiện thể chất phản ánh trạng thái tâm lý nhân vật.", "🔒 Trả lời đúng để mở khóa Strategic Tip!")</f>
        <v/>
      </c>
    </row>
    <row r="11">
      <c r="A11" s="7" t="inlineStr">
        <is>
          <t>Q7</t>
        </is>
      </c>
      <c r="B11" s="5" t="inlineStr">
        <is>
          <t>Main Purpose (Informational Text)</t>
        </is>
      </c>
      <c r="C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D11" s="5" t="inlineStr">
        <is>
          <t>Which choice best describes the main purpose of the text?</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P11" s="5">
        <f>IF(OR(G11="✅ Đúng", I11="✅ Đúng", K11="✅ Đúng"), "Main Purpose = Topic (Forestry Careers) + So What? (Integrate science and practical work).", "🔒 Trả lời đúng để mở khóa Strategic Tip!")</f>
        <v/>
      </c>
    </row>
    <row r="12">
      <c r="A12" s="7" t="inlineStr">
        <is>
          <t>Q8</t>
        </is>
      </c>
      <c r="B12" s="5" t="inlineStr">
        <is>
          <t>Detail &amp; Literal Comprehension</t>
        </is>
      </c>
      <c r="C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D12" s="5" t="inlineStr">
        <is>
          <t>According to the text, how can the color olo be seen?</t>
        </is>
      </c>
      <c r="E12" s="5" t="inlineStr">
        <is>
          <t>A. Lựa chọn A
B. Lựa chọn B
C. Lựa chọn C
D. Lựa chọn D</t>
        </is>
      </c>
      <c r="F12" s="14" t="n"/>
      <c r="G12" s="7">
        <f>IF(ISBLANK(F12), "⏳ Chờ đáp án", IF(UPPER(TRIM(F12))="A", "✅ Đúng", "❌ Sai"))</f>
        <v/>
      </c>
      <c r="H12" s="14" t="n"/>
      <c r="I12" s="7">
        <f>IF(ISBLANK(H12), "", IF(UPPER(TRIM(H12))="A", "✅ Đúng", "❌ Sai"))</f>
        <v/>
      </c>
      <c r="J12" s="14" t="n"/>
      <c r="K12" s="7">
        <f>IF(ISBLANK(J12), "", IF(UPPER(TRIM(J12))="A",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P12" s="5">
        <f>IF(OR(G12="✅ Đúng", I12="✅ Đúng", K12="✅ Đúng"), "Literal Comprehension: Paraphrase đúng nguyên văn bài đọc, không suy diễn.", "🔒 Trả lời đúng để mở khóa Strategic Tip!")</f>
        <v/>
      </c>
    </row>
    <row r="13">
      <c r="A13" s="7" t="inlineStr">
        <is>
          <t>Q9</t>
        </is>
      </c>
      <c r="B13" s="5" t="inlineStr">
        <is>
          <t>Quantitative Evidence (Graph)</t>
        </is>
      </c>
      <c r="C13" s="5" t="inlineStr">
        <is>
          <t>A student is collecting data about countries with volcanoes that have been active in the time since 1800 and in the time since 1960. The student records that Ethiopia has ______</t>
        </is>
      </c>
      <c r="D13" s="5" t="inlineStr">
        <is>
          <t>Which choice most effectively uses data from the graph to complete the statement?</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P13" s="5">
        <f>IF(OR(G13="✅ Đúng", I13="✅ Đúng", K13="✅ Đúng"), "Đọc chính xác cột chú giải và số liệu tương ứng của hai quốc gia.", "🔒 Trả lời đúng để mở khóa Strategic Tip!")</f>
        <v/>
      </c>
    </row>
    <row r="14">
      <c r="A14" s="7" t="inlineStr">
        <is>
          <t>Q10</t>
        </is>
      </c>
      <c r="B14" s="5" t="inlineStr">
        <is>
          <t>Command of Evidence (Quotation)</t>
        </is>
      </c>
      <c r="C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D14" s="5" t="inlineStr">
        <is>
          <t>Which quotation from a literary critic would be the most effective evidence in support of the underlined claim?</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P14" s="5">
        <f>IF(OR(G14="✅ Đúng", I14="✅ Đúng", K14="✅ Đúng"), "Bằng chứng hỗ trợ phải trực tiếp chứng minh tính chất 'aesthetic' (thẩm mỹ).", "🔒 Trả lời đúng để mở khóa Strategic Tip!")</f>
        <v/>
      </c>
    </row>
    <row r="15">
      <c r="A15" s="7" t="inlineStr">
        <is>
          <t>Q11</t>
        </is>
      </c>
      <c r="B15" s="5" t="inlineStr">
        <is>
          <t>Command of Evidence (Table Data)</t>
        </is>
      </c>
      <c r="C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D15" s="5" t="inlineStr">
        <is>
          <t>Which statement about the decline in the percentage of tribal employees working in the business sector is best supported by information in the table?</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P15" s="5">
        <f>IF(OR(G15="✅ Đúng", I15="✅ Đúng", K15="✅ Đúng"), "Tỷ lệ % giảm không có nghĩa là số lượng tuyệt đối giảm nếu tổng quy mô tăng.", "🔒 Trả lời đúng để mở khóa Strategic Tip!")</f>
        <v/>
      </c>
    </row>
    <row r="16">
      <c r="A16" s="7" t="inlineStr">
        <is>
          <t>Q12</t>
        </is>
      </c>
      <c r="B16" s="5" t="inlineStr">
        <is>
          <t>Command of Evidence (Chart Interpretation)</t>
        </is>
      </c>
      <c r="C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D16" s="5" t="inlineStr">
        <is>
          <t>Which choice most effectively uses data from the graph to complete the assertion?</t>
        </is>
      </c>
      <c r="E16" s="5" t="inlineStr">
        <is>
          <t>A. Lựa chọn A
B. Lựa chọn B
C. Lựa chọn C
D. Lựa chọn D</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P16" s="5">
        <f>IF(OR(G16="✅ Đúng", I16="✅ Đúng", K16="✅ Đúng"), "Đọc đúng cột năm (2003 vs 2005) và nhóm lý do bị phạt.", "🔒 Trả lời đúng để mở khóa Strategic Tip!")</f>
        <v/>
      </c>
    </row>
    <row r="17">
      <c r="A17" s="7" t="inlineStr">
        <is>
          <t>Q13</t>
        </is>
      </c>
      <c r="B17" s="5" t="inlineStr">
        <is>
          <t>Command of Evidence (Literary Text)</t>
        </is>
      </c>
      <c r="C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D17" s="5" t="inlineStr">
        <is>
          <t>Which quotation from Philoctetes most effectively illustrates the claim?</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P17" s="5">
        <f>IF(OR(G17="✅ Đúng", I17="✅ Đúng", K17="✅ Đúng"), "Chọn câu thoại thể hiện rõ luận điểm Neoptolemus không thuộc nhóm cũ.", "🔒 Trả lời đúng để mở khóa Strategic Tip!")</f>
        <v/>
      </c>
    </row>
    <row r="18">
      <c r="A18" s="7" t="inlineStr">
        <is>
          <t>Q14</t>
        </is>
      </c>
      <c r="B18" s="5" t="inlineStr">
        <is>
          <t>Text Completion / Logical Inference</t>
        </is>
      </c>
      <c r="C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D18" s="5" t="inlineStr">
        <is>
          <t>Which choice most logically completes the text?</t>
        </is>
      </c>
      <c r="E18" s="5" t="inlineStr">
        <is>
          <t>A. Lựa chọn A
B. Lựa chọn B
C. Lựa chọn C
D. Lựa chọn D</t>
        </is>
      </c>
      <c r="F18" s="14" t="n"/>
      <c r="G18" s="7">
        <f>IF(ISBLANK(F18), "⏳ Chờ đáp án", IF(UPPER(TRIM(F18))="A", "✅ Đúng", "❌ Sai"))</f>
        <v/>
      </c>
      <c r="H18" s="14" t="n"/>
      <c r="I18" s="7">
        <f>IF(ISBLANK(H18), "", IF(UPPER(TRIM(H18))="A", "✅ Đúng", "❌ Sai"))</f>
        <v/>
      </c>
      <c r="J18" s="14" t="n"/>
      <c r="K18" s="7">
        <f>IF(ISBLANK(J18), "", IF(UPPER(TRIM(J18))="A",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P18" s="5">
        <f>IF(OR(G18="✅ Đúng", I18="✅ Đúng", K18="✅ Đúng"), "Suy luận logic: Xem nhẹ 'pure invention' -&gt; Bỏ qua tính sáng tạo (creativity).", "🔒 Trả lời đúng để mở khóa Strategic Tip!")</f>
        <v/>
      </c>
    </row>
    <row r="19">
      <c r="A19" s="7" t="inlineStr">
        <is>
          <t>Q15</t>
        </is>
      </c>
      <c r="B19" s="5" t="inlineStr">
        <is>
          <t>Text Completion / Inference</t>
        </is>
      </c>
      <c r="C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D19" s="5" t="inlineStr">
        <is>
          <t>Which choice most logically completes the text?</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P19" s="5">
        <f>IF(OR(G19="✅ Đúng", I19="✅ Đúng", K19="✅ Đúng"), "Kết luận hợp lý: Giải pháp hiện tại gặp thách thức -&gt; Cần tiếp tục thử nghiệm ý tưởng mới.", "🔒 Trả lời đúng để mở khóa Strategic Tip!")</f>
        <v/>
      </c>
    </row>
    <row r="20">
      <c r="A20" s="7" t="inlineStr">
        <is>
          <t>Q16</t>
        </is>
      </c>
      <c r="B20" s="5" t="inlineStr">
        <is>
          <t>Standard English Conventions (Relative Clauses)</t>
        </is>
      </c>
      <c r="C20" s="5" t="inlineStr">
        <is>
          <t>With an average summer temperature of 82.5 degrees Fahrenheit, Nicosia is one European ______ many travelers recommend, especially from June to September.</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P20" s="5">
        <f>IF(OR(G20="✅ Đúng", I20="✅ Đúng", K20="✅ Đúng"), "Dùng 'that' không dấu phẩy cho mệnh đề quan hệ giới hạn.", "🔒 Trả lời đúng để mở khóa Strategic Tip!")</f>
        <v/>
      </c>
    </row>
    <row r="21" ht="15.75" customHeight="1" s="19">
      <c r="A21" s="7" t="inlineStr">
        <is>
          <t>Q17</t>
        </is>
      </c>
      <c r="B21" s="5" t="inlineStr">
        <is>
          <t>Standard English Conventions (Verb Tense &amp; Progress)</t>
        </is>
      </c>
      <c r="C21" s="5" t="inlineStr">
        <is>
          <t>Nanoengineers have developed synthesized mesoporous silica nanoparticles that are used to transport genes and medicines to specific cells in the body. As nanotechnology evolves, medical technology ______ to evolve as well.</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P21" s="5">
        <f>IF(OR(G21="✅ Đúng", I21="✅ Đúng", K21="✅ Đúng"), "Sự tương thích thì: As [Present], [Future].", "🔒 Trả lời đúng để mở khóa Strategic Tip!")</f>
        <v/>
      </c>
    </row>
    <row r="22" ht="15.75" customHeight="1" s="19">
      <c r="A22" s="7" t="inlineStr">
        <is>
          <t>Q18</t>
        </is>
      </c>
      <c r="B22" s="5" t="inlineStr">
        <is>
          <t>Standard English Conventions (Punctuation / Dashes)</t>
        </is>
      </c>
      <c r="C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P22" s="5">
        <f>IF(OR(G22="✅ Đúng", I22="✅ Đúng", K22="✅ Đúng"), "Dấu gạch ngang đi theo cặp: — [thông tin bổ sung] —.", "🔒 Trả lời đúng để mở khóa Strategic Tip!")</f>
        <v/>
      </c>
    </row>
    <row r="23" ht="15.75" customHeight="1" s="19">
      <c r="A23" s="7" t="inlineStr">
        <is>
          <t>Q19</t>
        </is>
      </c>
      <c r="B23" s="5" t="inlineStr">
        <is>
          <t>Standard English Conventions (Colons)</t>
        </is>
      </c>
      <c r="C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IF(UPPER(TRIM(F23))="B", "✅ Đúng", "❌ Sai"))</f>
        <v/>
      </c>
      <c r="H23" s="14" t="n"/>
      <c r="I23" s="7">
        <f>IF(ISBLANK(H23), "", IF(UPPER(TRIM(H23))="B", "✅ Đúng", "❌ Sai"))</f>
        <v/>
      </c>
      <c r="J23" s="14" t="n"/>
      <c r="K23" s="7">
        <f>IF(ISBLANK(J23), "", IF(UPPER(TRIM(J23))="B",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P23" s="5">
        <f>IF(OR(G23="✅ Đúng", I23="✅ Đúng", K23="✅ Đúng"), "Dấu hai chấm (:) báo hiệu danh sách giải thích phía sau.", "🔒 Trả lời đúng để mở khóa Strategic Tip!")</f>
        <v/>
      </c>
    </row>
    <row r="24" ht="15.75" customHeight="1" s="19">
      <c r="A24" s="7" t="inlineStr">
        <is>
          <t>Q20</t>
        </is>
      </c>
      <c r="B24" s="5" t="inlineStr">
        <is>
          <t>Standard English Conventions (Semicolons &amp; Colons)</t>
        </is>
      </c>
      <c r="C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P24" s="5">
        <f>IF(OR(G24="✅ Đúng", I24="✅ Đúng", K24="✅ Đúng"), "Dấu hai chấm nối 2 mệnh đề độc lập khi mệnh đề 2 giải thích cho mệnh đề 1.", "🔒 Trả lời đúng để mở khóa Strategic Tip!")</f>
        <v/>
      </c>
    </row>
    <row r="25" ht="15.75" customHeight="1" s="19">
      <c r="A25" s="7" t="inlineStr">
        <is>
          <t>Q21</t>
        </is>
      </c>
      <c r="B25" s="5" t="inlineStr">
        <is>
          <t>Standard English Conventions (Subject-Verb Agreement)</t>
        </is>
      </c>
      <c r="C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D25" s="5" t="inlineStr">
        <is>
          <t>Which choice completes the text so that it conforms to the conventions of Standard English?</t>
        </is>
      </c>
      <c r="E25" s="5" t="inlineStr">
        <is>
          <t>A. Lựa chọn A
B. Lựa chọn B
C. Lựa chọn C
D. Lựa chọn D</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P25" s="5">
        <f>IF(OR(G25="✅ Đúng", I25="✅ Đúng", K25="✅ Đúng"), "Gạch bỏ thông tin xen giữa trong hai dấu gạch ngang để xác định chủ ngữ chính.", "🔒 Trả lời đúng để mở khóa Strategic Tip!")</f>
        <v/>
      </c>
    </row>
    <row r="26" ht="15.75" customHeight="1" s="19">
      <c r="A26" s="7" t="inlineStr">
        <is>
          <t>Q22</t>
        </is>
      </c>
      <c r="B26" s="5" t="inlineStr">
        <is>
          <t>Transitions (Sequence &amp; Step)</t>
        </is>
      </c>
      <c r="C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D26" s="5" t="inlineStr">
        <is>
          <t>Which choice completes the text with the most logical transition?</t>
        </is>
      </c>
      <c r="E26" s="5" t="inlineStr">
        <is>
          <t>A. Lựa chọn A
B. Lựa chọn B
C. Lựa chọn C
D. Lựa chọn D</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P26" s="5">
        <f>IF(OR(G26="✅ Đúng", I26="✅ Đúng", K26="✅ Đúng"), "Từ nối chỉ thứ tự các bước trong quy trình: Next.", "🔒 Trả lời đúng để mở khóa Strategic Tip!")</f>
        <v/>
      </c>
    </row>
    <row r="27" ht="15.75" customHeight="1" s="19">
      <c r="A27" s="7" t="inlineStr">
        <is>
          <t>Q23</t>
        </is>
      </c>
      <c r="B27" s="5" t="inlineStr">
        <is>
          <t>Transitions (Elaboration &amp; Specifics)</t>
        </is>
      </c>
      <c r="C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D27" s="5" t="inlineStr">
        <is>
          <t>Which choice completes the text with the most logical transition?</t>
        </is>
      </c>
      <c r="E27" s="5" t="inlineStr">
        <is>
          <t>A. Lựa chọn A
B. Lựa chọn B
C. Lựa chọn C
D. Lựa chọn D</t>
        </is>
      </c>
      <c r="F27" s="14" t="n"/>
      <c r="G27" s="7">
        <f>IF(ISBLANK(F27), "⏳ Chờ đáp án", IF(UPPER(TRIM(F27))="D", "✅ Đúng", "❌ Sai"))</f>
        <v/>
      </c>
      <c r="H27" s="14" t="n"/>
      <c r="I27" s="7">
        <f>IF(ISBLANK(H27), "", IF(UPPER(TRIM(H27))="D", "✅ Đúng", "❌ Sai"))</f>
        <v/>
      </c>
      <c r="J27" s="14" t="n"/>
      <c r="K27" s="7">
        <f>IF(ISBLANK(J27), "", IF(UPPER(TRIM(J27))="D",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P27" s="5">
        <f>IF(OR(G27="✅ Đúng", I27="✅ Đúng", K27="✅ Đúng"), "Specifically = đi vào chi tiết minh họa cụ thể.", "🔒 Trả lời đúng để mở khóa Strategic Tip!")</f>
        <v/>
      </c>
    </row>
    <row r="28" ht="15.75" customHeight="1" s="19">
      <c r="A28" s="7" t="inlineStr">
        <is>
          <t>Q24</t>
        </is>
      </c>
      <c r="B28" s="5" t="inlineStr">
        <is>
          <t>Rhetorical Synthesis / Student Notes</t>
        </is>
      </c>
      <c r="C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D28" s="5" t="inlineStr">
        <is>
          <t>The student wants to introduce pistol shrimp to an audience unfamiliar with these crustaceans. Which choice most effectively uses relevant information from the notes to accomplish this goal?</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P28" s="5">
        <f>IF(OR(G28="✅ Đúng", I28="✅ Đúng", K28="✅ Đúng"), "Giới thiệu đối tượng mới = Nêu tên đối tượng + Định nghĩa/Đặc điểm nhận diện chính.", "🔒 Trả lời đúng để mở khóa Strategic Tip!")</f>
        <v/>
      </c>
    </row>
    <row r="29" ht="15.75" customHeight="1" s="19">
      <c r="A29" s="7" t="inlineStr">
        <is>
          <t>Q25</t>
        </is>
      </c>
      <c r="B29" s="5" t="inlineStr">
        <is>
          <t>Rhetorical Synthesis / Student Notes</t>
        </is>
      </c>
      <c r="C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D29" s="5" t="inlineStr">
        <is>
          <t>The student wants to provide an example of one of Catlett’s sculptures. Which choice most effectively uses relevant information from the notes to accomplish this goal?</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P29" s="5">
        <f>IF(OR(G29="✅ Đúng", I29="✅ Đúng", K29="✅ Đúng"), "Đọc kĩ yêu cầu cụ thể của đề bài: 'example of one of Catlett's sculptures'.", "🔒 Trả lời đúng để mở khóa Strategic Tip!")</f>
        <v/>
      </c>
    </row>
    <row r="30" ht="15.75" customHeight="1" s="19">
      <c r="A30" s="7" t="inlineStr">
        <is>
          <t>Q26</t>
        </is>
      </c>
      <c r="B30" s="5" t="inlineStr">
        <is>
          <t>Rhetorical Synthesis / Student Notes</t>
        </is>
      </c>
      <c r="C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D30" s="5" t="inlineStr">
        <is>
          <t>The student wants to emphasize the 2020 population of Chapantongo. Which choice most effectively uses relevant information from the notes to accomplish this goal?</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P30" s="5">
        <f>IF(OR(G30="✅ Đúng", I30="✅ Đúng", K30="✅ Đúng"), "Đáp án phải chứa thông tin được yêu cầu làm trọng tâm: 2020 population = 12,967.",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D31" s="5" t="inlineStr">
        <is>
          <t>The student wants to explain what Svetlana Boym writes about in chapter 8. Which choice most effectively uses relevant information from the notes to accomplish this goal?</t>
        </is>
      </c>
      <c r="E31" s="5" t="inlineStr">
        <is>
          <t>A. Lựa chọn A
B. Lựa chọn B
C. Lựa chọn C
D. Lựa chọn D</t>
        </is>
      </c>
      <c r="F31" s="14" t="n"/>
      <c r="G31" s="7">
        <f>IF(ISBLANK(F31), "⏳ Chờ đáp án", IF(UPPER(TRIM(F31))="C", "✅ Đúng", "❌ Sai"))</f>
        <v/>
      </c>
      <c r="H31" s="14" t="n"/>
      <c r="I31" s="7">
        <f>IF(ISBLANK(H31), "", IF(UPPER(TRIM(H31))="C", "✅ Đúng", "❌ Sai"))</f>
        <v/>
      </c>
      <c r="J31" s="14" t="n"/>
      <c r="K31" s="7">
        <f>IF(ISBLANK(J31), "", IF(UPPER(TRIM(J31))="C",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P31" s="5">
        <f>IF(OR(G31="✅ Đúng", I31="✅ Đúng", K31="✅ Đúng"), "Chỉ chọn phương án trả lời đúng mục tiêu 'explain what Boym writes in chapter 8'.",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2</t>
        </is>
      </c>
    </row>
    <row r="2">
      <c r="A2" s="2" t="inlineStr">
        <is>
          <t>Chiến thuật: Tự thử sức ở Lần 1 (Cột F) -&gt; Nhận phản hồi tự động &amp; Gợi ý định hướng logic mà không làm lộ đáp án.</t>
        </is>
      </c>
    </row>
    <row r="3"/>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(Interplay)</t>
        </is>
      </c>
      <c r="C5"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IF(UPPER(TRIM(F5))="D", "✅ Đúng", "❌ Sai"))</f>
        <v/>
      </c>
      <c r="H5" s="14" t="n"/>
      <c r="I5" s="7">
        <f>IF(ISBLANK(H5), "", IF(UPPER(TRIM(H5))="D", "✅ Đúng", "❌ Sai"))</f>
        <v/>
      </c>
      <c r="J5" s="14" t="n"/>
      <c r="K5" s="7">
        <f>IF(ISBLANK(J5), "", IF(UPPER(TRIM(J5))="D",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P5" s="5">
        <f>IF(OR(G5="✅ Đúng", I5="✅ Đúng", K5="✅ Đúng"), "Interplay = the way in which two or more things have an effect on each other.", "🔒 Trả lời đúng để mở khóa Strategic Tip!")</f>
        <v/>
      </c>
    </row>
    <row r="6">
      <c r="A6" s="7" t="inlineStr">
        <is>
          <t>Q2</t>
        </is>
      </c>
      <c r="B6" s="5" t="inlineStr">
        <is>
          <t>Vocabulary in Context (Efficiency &amp; Output)</t>
        </is>
      </c>
      <c r="C6"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P6" s="5">
        <f>IF(OR(G6="✅ Đúng", I6="✅ Đúng", K6="✅ Đúng"), "Throughput = the amount of material or items passing through a system or process.", "🔒 Trả lời đúng để mở khóa Strategic Tip!")</f>
        <v/>
      </c>
    </row>
    <row r="7">
      <c r="A7" s="7" t="inlineStr">
        <is>
          <t>Q3</t>
        </is>
      </c>
      <c r="B7" s="5" t="inlineStr">
        <is>
          <t>Vocabulary in Context (Parameters)</t>
        </is>
      </c>
      <c r="C7"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IF(UPPER(TRIM(F7))="C", "✅ Đúng", "❌ Sai"))</f>
        <v/>
      </c>
      <c r="H7" s="14" t="n"/>
      <c r="I7" s="7">
        <f>IF(ISBLANK(H7), "", IF(UPPER(TRIM(H7))="C", "✅ Đúng", "❌ Sai"))</f>
        <v/>
      </c>
      <c r="J7" s="14" t="n"/>
      <c r="K7" s="7">
        <f>IF(ISBLANK(J7), "", IF(UPPER(TRIM(J7))="C",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P7" s="5">
        <f>IF(OR(G7="✅ Đúng", I7="✅ Đúng", K7="✅ Đúng"), "Parameters = numerical or other measurable factors forming sets that define a system.", "🔒 Trả lời đúng để mở khóa Strategic Tip!")</f>
        <v/>
      </c>
    </row>
    <row r="8">
      <c r="A8" s="7" t="inlineStr">
        <is>
          <t>Q4</t>
        </is>
      </c>
      <c r="B8" s="5" t="inlineStr">
        <is>
          <t>Vocabulary in Context (Cautions &amp; Warnings)</t>
        </is>
      </c>
      <c r="C8"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P8" s="5">
        <f>IF(OR(G8="✅ Đúng", I8="✅ Đúng", K8="✅ Đúng"), "Admonitions = firm warnings or reprimands.", "🔒 Trả lời đúng để mở khóa Strategic Tip!")</f>
        <v/>
      </c>
    </row>
    <row r="9">
      <c r="A9" s="7" t="inlineStr">
        <is>
          <t>Q5</t>
        </is>
      </c>
      <c r="B9" s="5" t="inlineStr">
        <is>
          <t>Sentence Function &amp; Text Structure</t>
        </is>
      </c>
      <c r="C9"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D9" s="5" t="inlineStr">
        <is>
          <t>Which choice best describes the function of the underlined sentence in the text as a whole?</t>
        </is>
      </c>
      <c r="E9" s="5" t="inlineStr">
        <is>
          <t>A. Lựa chọn A
B. Lựa chọn B
C. Lựa chọn C
D. Lựa chọn D</t>
        </is>
      </c>
      <c r="F9" s="14" t="n"/>
      <c r="G9" s="7">
        <f>IF(ISBLANK(F9), "⏳ Chờ đáp án", IF(UPPER(TRIM(F9))="A", "✅ Đúng", "❌ Sai"))</f>
        <v/>
      </c>
      <c r="H9" s="14" t="n"/>
      <c r="I9" s="7">
        <f>IF(ISBLANK(H9), "", IF(UPPER(TRIM(H9))="A", "✅ Đúng", "❌ Sai"))</f>
        <v/>
      </c>
      <c r="J9" s="14" t="n"/>
      <c r="K9" s="7">
        <f>IF(ISBLANK(J9), "", IF(UPPER(TRIM(J9))="A",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P9" s="5">
        <f>IF(OR(G9="✅ Đúng", I9="✅ Đúng", K9="✅ Đúng"), "Xác định vai trò tu từ: Trình bày hiện tượng dẫn tới kết quả theo sau.", "🔒 Trả lời đúng để mở khóa Strategic Tip!")</f>
        <v/>
      </c>
    </row>
    <row r="10">
      <c r="A10" s="7" t="inlineStr">
        <is>
          <t>Q6</t>
        </is>
      </c>
      <c r="B10" s="5" t="inlineStr">
        <is>
          <t>Text Structure &amp; Overall Purpose</t>
        </is>
      </c>
      <c r="C10"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D10" s="5" t="inlineStr">
        <is>
          <t>Which choice best describes the overall structure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P10" s="5">
        <f>IF(OR(G10="✅ Đúng", I10="✅ Đúng", K10="✅ Đúng"), "Mô hình cấu trúc: Define -&gt; Describe Formation -&gt; Provide Specific Landmark Example.", "🔒 Trả lời đúng để mở khóa Strategic Tip!")</f>
        <v/>
      </c>
    </row>
    <row r="11">
      <c r="A11" s="7" t="inlineStr">
        <is>
          <t>Q7</t>
        </is>
      </c>
      <c r="B11" s="5" t="inlineStr">
        <is>
          <t>Cross-Text Comparison (Paired Passages)</t>
        </is>
      </c>
      <c r="C11"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D11" s="5" t="inlineStr">
        <is>
          <t>Which choice best describes a notable difference in how the references to palm trees function in Text 1 and Text 2?</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P11" s="5">
        <f>IF(OR(G11="✅ Đúng", I11="✅ Đúng", K11="✅ Đúng"), "So sánh hai thái độ/góc nhìn của hai tác giả đối với cùng một hình ảnh.", "🔒 Trả lời đúng để mở khóa Strategic Tip!")</f>
        <v/>
      </c>
    </row>
    <row r="12">
      <c r="A12" s="7" t="inlineStr">
        <is>
          <t>Q8</t>
        </is>
      </c>
      <c r="B12" s="5" t="inlineStr">
        <is>
          <t>Main Idea (Vernacular Riddles)</t>
        </is>
      </c>
      <c r="C12"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D12" s="5" t="inlineStr">
        <is>
          <t>Which choice best states the main idea of the text?</t>
        </is>
      </c>
      <c r="E12" s="5" t="inlineStr">
        <is>
          <t>A. Lựa chọn A
B. Lựa chọn B
C. Lựa chọn C
D. Lựa chọn D</t>
        </is>
      </c>
      <c r="F12" s="14" t="n"/>
      <c r="G12" s="7">
        <f>IF(ISBLANK(F12), "⏳ Chờ đáp án", IF(UPPER(TRIM(F12))="B", "✅ Đúng", "❌ Sai"))</f>
        <v/>
      </c>
      <c r="H12" s="14" t="n"/>
      <c r="I12" s="7">
        <f>IF(ISBLANK(H12), "", IF(UPPER(TRIM(H12))="B", "✅ Đúng", "❌ Sai"))</f>
        <v/>
      </c>
      <c r="J12" s="14" t="n"/>
      <c r="K12" s="7">
        <f>IF(ISBLANK(J12), "", IF(UPPER(TRIM(J12))="B",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P12" s="5">
        <f>IF(OR(G12="✅ Đúng", I12="✅ Đúng", K12="✅ Đúng"), "Main Point = Evidence of performance context vs. Modern passive reading.", "🔒 Trả lời đúng để mở khóa Strategic Tip!")</f>
        <v/>
      </c>
    </row>
    <row r="13">
      <c r="A13" s="7" t="inlineStr">
        <is>
          <t>Q9</t>
        </is>
      </c>
      <c r="B13" s="5" t="inlineStr">
        <is>
          <t>Inference / Textual Evidence</t>
        </is>
      </c>
      <c r="C13"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D13" s="5" t="inlineStr">
        <is>
          <t>Information in the text best supports which statement about the consonant s?</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P13" s="5">
        <f>IF(OR(G13="✅ Đúng", I13="✅ Đúng", K13="✅ Đúng"), "Suy luận trực tiếp từ giả thuyết ảnh hưởng ngôn ngữ Nahuatl.", "🔒 Trả lời đúng để mở khóa Strategic Tip!")</f>
        <v/>
      </c>
    </row>
    <row r="14">
      <c r="A14" s="7" t="inlineStr">
        <is>
          <t>Q10</t>
        </is>
      </c>
      <c r="B14" s="5" t="inlineStr">
        <is>
          <t>Command of Evidence (Cover Crops)</t>
        </is>
      </c>
      <c r="C14"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D14" s="5" t="inlineStr">
        <is>
          <t>Which finding, if true, would be most consistent with Don and his coauthor’s conclusion?</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P14" s="5">
        <f>IF(OR(G14="✅ Đúng", I14="✅ Đúng", K14="✅ Đúng"), "Consistent with conclusion = Dữ liệu thực tế chứng minh vai trò tăng SOC của cover crops.", "🔒 Trả lời đúng để mở khóa Strategic Tip!")</f>
        <v/>
      </c>
    </row>
    <row r="15">
      <c r="A15" s="7" t="inlineStr">
        <is>
          <t>Q11</t>
        </is>
      </c>
      <c r="B15" s="5" t="inlineStr">
        <is>
          <t>Text Completion / Logical Inference</t>
        </is>
      </c>
      <c r="C15"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D15" s="5" t="inlineStr">
        <is>
          <t>Which choice most logically completes the text?</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P15" s="5">
        <f>IF(OR(G15="✅ Đúng", I15="✅ Đúng", K15="✅ Đúng"), "Kết luận hợp logic: Loại hình nội dung khác nhau -&gt; Kích hoạt các vùng não phi ngôn ngữ khác nhau.", "🔒 Trả lời đúng để mở khóa Strategic Tip!")</f>
        <v/>
      </c>
    </row>
    <row r="16">
      <c r="A16" s="7" t="inlineStr">
        <is>
          <t>Q12</t>
        </is>
      </c>
      <c r="B16" s="5" t="inlineStr">
        <is>
          <t>Text Completion / Logic Comparison</t>
        </is>
      </c>
      <c r="C16"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D16" s="5" t="inlineStr">
        <is>
          <t>Which choice most logically completes the text?</t>
        </is>
      </c>
      <c r="E16" s="5" t="inlineStr">
        <is>
          <t>A. Lựa chọn A
B. Lựa chọn B
C. Lựa chọn C
D. Lựa chọn D</t>
        </is>
      </c>
      <c r="F16" s="14" t="n"/>
      <c r="G16" s="7">
        <f>IF(ISBLANK(F16), "⏳ Chờ đáp án", IF(UPPER(TRIM(F16))="D", "✅ Đúng", "❌ Sai"))</f>
        <v/>
      </c>
      <c r="H16" s="14" t="n"/>
      <c r="I16" s="7">
        <f>IF(ISBLANK(H16), "", IF(UPPER(TRIM(H16))="D", "✅ Đúng", "❌ Sai"))</f>
        <v/>
      </c>
      <c r="J16" s="14" t="n"/>
      <c r="K16" s="7">
        <f>IF(ISBLANK(J16), "", IF(UPPER(TRIM(J16))="D",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P16" s="5">
        <f>IF(OR(G16="✅ Đúng", I16="✅ Đúng", K16="✅ Đúng"), "Ưu điểm của phân tích phân tử: Phân biệt chính xác các loài có hình thái bên ngoài tương đồng.", "🔒 Trả lời đúng để mở khóa Strategic Tip!")</f>
        <v/>
      </c>
    </row>
    <row r="17">
      <c r="A17" s="7" t="inlineStr">
        <is>
          <t>Q13</t>
        </is>
      </c>
      <c r="B17" s="5" t="inlineStr">
        <is>
          <t>Text Completion / Complex Inference</t>
        </is>
      </c>
      <c r="C17"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D17" s="5" t="inlineStr">
        <is>
          <t>Which choice most logically completes the text?</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P17" s="5">
        <f>IF(OR(G17="✅ Đúng", I17="✅ Đúng", K17="✅ Đúng"), "Giải thích cơ chế Niche Distinction giúp duy trì sự ổn định sinh thái.", "🔒 Trả lời đúng để mở khóa Strategic Tip!")</f>
        <v/>
      </c>
    </row>
    <row r="18">
      <c r="A18" s="7" t="inlineStr">
        <is>
          <t>Q14</t>
        </is>
      </c>
      <c r="B18" s="5" t="inlineStr">
        <is>
          <t>Standard English Conventions (Modifiers)</t>
        </is>
      </c>
      <c r="C18"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D18" s="5" t="inlineStr">
        <is>
          <t>Which choice completes the text so that it conforms to the conventions of Standard English?</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P18" s="5">
        <f>IF(OR(G18="✅ Đúng", I18="✅ Đúng", K18="✅ Đúng"), "Bổ ngữ phân từ đầu câu: [Participle Modifier], [Subject + Verb].", "🔒 Trả lời đúng để mở khóa Strategic Tip!")</f>
        <v/>
      </c>
    </row>
    <row r="19">
      <c r="A19" s="7" t="inlineStr">
        <is>
          <t>Q15</t>
        </is>
      </c>
      <c r="B19" s="5" t="inlineStr">
        <is>
          <t>Standard English Conventions (Parallel Lists)</t>
        </is>
      </c>
      <c r="C19"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D19" s="5" t="inlineStr">
        <is>
          <t>Which choice completes the text so that it conforms to the conventions of Standard English?</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P19" s="5">
        <f>IF(OR(G19="✅ Đúng", I19="✅ Đúng", K19="✅ Đúng"), "Dùng dấu chấm phẩy (;) phân tách các mục lớn trong danh sách phức tạp.", "🔒 Trả lời đúng để mở khóa Strategic Tip!")</f>
        <v/>
      </c>
    </row>
    <row r="20">
      <c r="A20" s="7" t="inlineStr">
        <is>
          <t>Q16</t>
        </is>
      </c>
      <c r="B20" s="5" t="inlineStr">
        <is>
          <t>Standard English Conventions (Participles)</t>
        </is>
      </c>
      <c r="C20"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P20" s="5">
        <f>IF(OR(G20="✅ Đúng", I20="✅ Đúng", K20="✅ Đúng"), "Rút gọn mệnh đề quan hệ chủ động: archaeologists who were seeking -&gt; archaeologists seeking.", "🔒 Trả lời đúng để mở khóa Strategic Tip!")</f>
        <v/>
      </c>
    </row>
    <row r="21" ht="15.75" customHeight="1" s="19">
      <c r="A21" s="7" t="inlineStr">
        <is>
          <t>Q17</t>
        </is>
      </c>
      <c r="B21" s="5" t="inlineStr">
        <is>
          <t>Standard English Conventions (Punctuation Dashes)</t>
        </is>
      </c>
      <c r="C21"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P21" s="5">
        <f>IF(OR(G21="✅ Đúng", I21="✅ Đúng", K21="✅ Đúng"), "Dấu gạch ngang đơn dùng để nhấn mạnh cụm từ bổ nghĩa ở cuối câu.", "🔒 Trả lời đúng để mở khóa Strategic Tip!")</f>
        <v/>
      </c>
    </row>
    <row r="22" ht="15.75" customHeight="1" s="19">
      <c r="A22" s="7" t="inlineStr">
        <is>
          <t>Q18</t>
        </is>
      </c>
      <c r="B22" s="5" t="inlineStr">
        <is>
          <t>Standard English Conventions (Punctuation &amp; Prepositional Phrases)</t>
        </is>
      </c>
      <c r="C22" s="5" t="inlineStr">
        <is>
          <t>During the late nineteenth century, agricultural chemist George Washington Carver revolutionized farming practices in the American ______ promoting systematic crop rotation techniques that replenished essential nitrogen in depleted soils.</t>
        </is>
      </c>
      <c r="D22" s="5" t="inlineStr">
        <is>
          <t>Which choice completes the text so that it conforms to the conventions of Standard English?</t>
        </is>
      </c>
      <c r="E22" s="5" t="inlineStr">
        <is>
          <t>A. South, by
B. South by
C. South; by
D. South: by</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P22" s="5">
        <f>IF(OR(G22="✅ Đúng", I22="✅ Đúng", K22="✅ Đúng"), "Không đặt dấu phẩy ngăn cách trực tiếp trước giới từ chỉ phương thức.", "🔒 Trả lời đúng để mở khóa Strategic Tip!")</f>
        <v/>
      </c>
    </row>
    <row r="23" ht="15.75" customHeight="1" s="19">
      <c r="A23" s="7" t="inlineStr">
        <is>
          <t>Q19</t>
        </is>
      </c>
      <c r="B23" s="5" t="inlineStr">
        <is>
          <t>Standard English Conventions (Boundaries &amp; Sentence Structure)</t>
        </is>
      </c>
      <c r="C23"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D23" s="5" t="inlineStr">
        <is>
          <t>Which choice completes the text so that it conforms to the conventions of Standard English?</t>
        </is>
      </c>
      <c r="E23" s="5" t="inlineStr">
        <is>
          <t>A. star). Occurring
B. star) occurring
C. star) and occurring
D. star), occurring</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P23" s="5">
        <f>IF(OR(G23="✅ Đúng", I23="✅ Đúng", K23="✅ Đúng"), "Tránh lỗi Comma Splice bằng cách kết thúc câu bằng dấu chấm.", "🔒 Trả lời đúng để mở khóa Strategic Tip!")</f>
        <v/>
      </c>
    </row>
    <row r="24" ht="15.75" customHeight="1" s="19">
      <c r="A24" s="7" t="inlineStr">
        <is>
          <t>Q20</t>
        </is>
      </c>
      <c r="B24" s="5" t="inlineStr">
        <is>
          <t>Standard English Conventions (Dangling &amp; Misplaced Modifiers)</t>
        </is>
      </c>
      <c r="C24" s="5" t="inlineStr">
        <is>
          <t>Originating during the Cretaceous period, ______</t>
        </is>
      </c>
      <c r="D24" s="5" t="inlineStr">
        <is>
          <t>Which choice completes the text so that it conforms to the conventions of Standard English?</t>
        </is>
      </c>
      <c r="E24" s="5" t="inlineStr">
        <is>
          <t>A. entomologists have extensively examined fossilized resin deposits excavated in northern Myanmar.
B. the fossilized amber specimens excavated in northern Myanmar preserve unprecedented anatomical details of early arthropods.
C. paleontological excavation in northern Myanmar has uncovered numerous ancient arthropods.
D. arthropods were trapped and entombed within sticky conifer secretions.</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P24" s="5">
        <f>IF(OR(G24="✅ Đúng", I24="✅ Đúng", K24="✅ Đúng"), "Bổ ngữ chỉ thời đại/nguồn gốc phải đi liền với danh từ hổ phách/hóa thạch.", "🔒 Trả lời đúng để mở khóa Strategic Tip!")</f>
        <v/>
      </c>
    </row>
    <row r="25" ht="15.75" customHeight="1" s="19">
      <c r="A25" s="7" t="inlineStr">
        <is>
          <t>Q21</t>
        </is>
      </c>
      <c r="B25" s="5" t="inlineStr">
        <is>
          <t>Transitions (Contrast)</t>
        </is>
      </c>
      <c r="C25"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D25" s="5" t="inlineStr">
        <is>
          <t>Which choice completes the text with the most logical transition?</t>
        </is>
      </c>
      <c r="E25" s="5" t="inlineStr">
        <is>
          <t>A. Lựa chọn A
B. Lựa chọn B
C. Lựa chọn C
D. Lựa chọn D</t>
        </is>
      </c>
      <c r="F25" s="14" t="n"/>
      <c r="G25" s="7">
        <f>IF(ISBLANK(F25), "⏳ Chờ đáp án", IF(UPPER(TRIM(F25))="D", "✅ Đúng", "❌ Sai"))</f>
        <v/>
      </c>
      <c r="H25" s="14" t="n"/>
      <c r="I25" s="7">
        <f>IF(ISBLANK(H25), "", IF(UPPER(TRIM(H25))="D", "✅ Đúng", "❌ Sai"))</f>
        <v/>
      </c>
      <c r="J25" s="14" t="n"/>
      <c r="K25" s="7">
        <f>IF(ISBLANK(J25), "", IF(UPPER(TRIM(J25))="D",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P25" s="5">
        <f>IF(OR(G25="✅ Đúng", I25="✅ Đúng", K25="✅ Đúng"), "However = dùng để đối lập giữa giả định chung và phạm vi hẹp thực tế.", "🔒 Trả lời đúng để mở khóa Strategic Tip!")</f>
        <v/>
      </c>
    </row>
    <row r="26" ht="15.75" customHeight="1" s="19">
      <c r="A26" s="7" t="inlineStr">
        <is>
          <t>Q22</t>
        </is>
      </c>
      <c r="B26" s="5" t="inlineStr">
        <is>
          <t>Transitions (Illustration / Exemplification)</t>
        </is>
      </c>
      <c r="C26"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D26" s="5" t="inlineStr">
        <is>
          <t>Which choice completes the text with the most logical transition?</t>
        </is>
      </c>
      <c r="E26" s="5" t="inlineStr">
        <is>
          <t>A. Lựa chọn A
B. Lựa chọn B
C. Lựa chọn C
D. Lựa chọn D</t>
        </is>
      </c>
      <c r="F26" s="14" t="n"/>
      <c r="G26" s="7">
        <f>IF(ISBLANK(F26), "⏳ Chờ đáp án", IF(UPPER(TRIM(F26))="B", "✅ Đúng", "❌ Sai"))</f>
        <v/>
      </c>
      <c r="H26" s="14" t="n"/>
      <c r="I26" s="7">
        <f>IF(ISBLANK(H26), "", IF(UPPER(TRIM(H26))="B", "✅ Đúng", "❌ Sai"))</f>
        <v/>
      </c>
      <c r="J26" s="14" t="n"/>
      <c r="K26" s="7">
        <f>IF(ISBLANK(J26), "", IF(UPPER(TRIM(J26))="B",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P26" s="5">
        <f>IF(OR(G26="✅ Đúng", I26="✅ Đúng", K26="✅ Đúng"), "Thus = kết luận logic rút ra từ định nghĩa trước đó.", "🔒 Trả lời đúng để mở khóa Strategic Tip!")</f>
        <v/>
      </c>
    </row>
    <row r="27" ht="15.75" customHeight="1" s="19">
      <c r="A27" s="7" t="inlineStr">
        <is>
          <t>Q23</t>
        </is>
      </c>
      <c r="B27" s="5" t="inlineStr">
        <is>
          <t>Transitions (Comparison / Contrast)</t>
        </is>
      </c>
      <c r="C27" s="5" t="inlineStr">
        <is>
          <t>Generally, sleek vehicles are more aerodynamic than bulkier ones. The streamlined nose of the Airbus A350 XWB jet, ______ helps it glide through wind with relative ease, while a boxy pickup truck encounters more wind resistance, making it less aerodynamic.</t>
        </is>
      </c>
      <c r="D27" s="5" t="inlineStr">
        <is>
          <t>Which choice completes the text with the most logical transition?</t>
        </is>
      </c>
      <c r="E27" s="5" t="inlineStr">
        <is>
          <t>A. Lựa chọn A
B. Lựa chọn B
C. Lựa chọn C
D. Lựa chọn D</t>
        </is>
      </c>
      <c r="F27" s="14" t="n"/>
      <c r="G27" s="7">
        <f>IF(ISBLANK(F27), "⏳ Chờ đáp án", IF(UPPER(TRIM(F27))="C", "✅ Đúng", "❌ Sai"))</f>
        <v/>
      </c>
      <c r="H27" s="14" t="n"/>
      <c r="I27" s="7">
        <f>IF(ISBLANK(H27), "", IF(UPPER(TRIM(H27))="C", "✅ Đúng", "❌ Sai"))</f>
        <v/>
      </c>
      <c r="J27" s="14" t="n"/>
      <c r="K27" s="7">
        <f>IF(ISBLANK(J27), "", IF(UPPER(TRIM(J27))="C",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P27" s="5">
        <f>IF(OR(G27="✅ Đúng", I27="✅ Đúng", K27="✅ Đúng"), "Meanwhile / whereas = nối hai vế đối lập song song.", "🔒 Trả lời đúng để mở khóa Strategic Tip!")</f>
        <v/>
      </c>
    </row>
    <row r="28" ht="15.75" customHeight="1" s="19">
      <c r="A28" s="7" t="inlineStr">
        <is>
          <t>Q24</t>
        </is>
      </c>
      <c r="B28" s="5" t="inlineStr">
        <is>
          <t>Transitions (Emphasis)</t>
        </is>
      </c>
      <c r="C28"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D28" s="5" t="inlineStr">
        <is>
          <t>Which choice completes the text with the most logical transition?</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P28" s="5">
        <f>IF(OR(G28="✅ Đúng", I28="✅ Đúng", K28="✅ Đúng"), "Indeed = dùng để nhấn mạnh/xác nhận thông tin trước.", "🔒 Trả lời đúng để mở khóa Strategic Tip!")</f>
        <v/>
      </c>
    </row>
    <row r="29" ht="15.75" customHeight="1" s="19">
      <c r="A29" s="7" t="inlineStr">
        <is>
          <t>Q25</t>
        </is>
      </c>
      <c r="B29" s="5" t="inlineStr">
        <is>
          <t>Transitions (Contrast &amp; Context)</t>
        </is>
      </c>
      <c r="C29"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D29" s="5" t="inlineStr">
        <is>
          <t>Which choice completes the text with the most logical transition?</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P29" s="5">
        <f>IF(OR(G29="✅ Đúng", I29="✅ Đúng", K29="✅ Đúng"), "Still = tuy nhiên, chuyển hướng sang khía cạnh tích cực khác.", "🔒 Trả lời đúng để mở khóa Strategic Tip!")</f>
        <v/>
      </c>
    </row>
    <row r="30" ht="15.75" customHeight="1" s="19">
      <c r="A30" s="7" t="inlineStr">
        <is>
          <t>Q26</t>
        </is>
      </c>
      <c r="B30" s="5" t="inlineStr">
        <is>
          <t>Rhetorical Synthesis / Student Notes</t>
        </is>
      </c>
      <c r="C30"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D30" s="5" t="inlineStr">
        <is>
          <t>Which choice most effectively uses information from the given sentences to explain the 50 Completers hiking challenge to a new audience?</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P30" s="5">
        <f>IF(OR(G30="✅ Đúng", I30="✅ Đúng", K30="✅ Đúng"), "Giải thích thử thách = Nêu điều kiện hoàn thành + Ví dụ các đỉnh núi.",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D31" s="5" t="inlineStr">
        <is>
          <t>The student wants to explain why ERW is a superior method for capturing CO2. Which choice most effectively uses relevant information from the notes to accomplish this goal?</t>
        </is>
      </c>
      <c r="E31" s="5" t="inlineStr">
        <is>
          <t>A. Lựa chọn A
B. Lựa chọn B
C. Lựa chọn C
D. Lựa chọn D</t>
        </is>
      </c>
      <c r="F31" s="14" t="n"/>
      <c r="G31" s="7">
        <f>IF(ISBLANK(F31), "⏳ Chờ đáp án", IF(UPPER(TRIM(F31))="B", "✅ Đúng", "❌ Sai"))</f>
        <v/>
      </c>
      <c r="H31" s="14" t="n"/>
      <c r="I31" s="7">
        <f>IF(ISBLANK(H31), "", IF(UPPER(TRIM(H31))="B", "✅ Đúng", "❌ Sai"))</f>
        <v/>
      </c>
      <c r="J31" s="14" t="n"/>
      <c r="K31" s="7">
        <f>IF(ISBLANK(J31), "", IF(UPPER(TRIM(J31))="B",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P31" s="5">
        <f>IF(OR(G31="✅ Đúng", I31="✅ Đúng", K31="✅ Đúng"), "Chỉ ra điểm vượt trội trực tiếp: 'low-cost and low-tech alternative'.",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Linear Functions &amp; Evaluation</t>
        </is>
      </c>
      <c r="C5" s="5" t="inlineStr">
        <is>
          <t>The function h is defined by h(x) = 100x - 50.</t>
        </is>
      </c>
      <c r="D5" s="5" t="inlineStr">
        <is>
          <t>Calculator Allowed. What is the value of h(x) when x = 6?</t>
        </is>
      </c>
      <c r="E5" s="5" t="inlineStr">
        <is>
          <t>A. Lựa chọn A
B. Lựa chọn B
C. Lựa chọn C
D. Lựa chọn D</t>
        </is>
      </c>
      <c r="F5" s="14" t="n"/>
      <c r="G5" s="7">
        <f>IF(ISBLANK(F5), "⏳ Chờ đáp án", IF(UPPER(TRIM(F5))="C", "✅ Đúng", "❌ Sai"))</f>
        <v/>
      </c>
      <c r="H5" s="14" t="n"/>
      <c r="I5" s="7">
        <f>IF(ISBLANK(H5), "", IF(UPPER(TRIM(H5))="C", "✅ Đúng", "❌ Sai"))</f>
        <v/>
      </c>
      <c r="J5" s="14" t="n"/>
      <c r="K5" s="7">
        <f>IF(ISBLANK(J5), "", IF(UPPER(TRIM(J5))="C",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P5" s="5">
        <f>IF(OR(G5="✅ Đúng", I5="✅ Đúng", K5="✅ Đúng"), "Linear Function Evaluation: h(6) = 100(6) - 50 = 550.", "🔒 Trả lời đúng để mở khóa Strategic Tip!")</f>
        <v/>
      </c>
    </row>
    <row r="6">
      <c r="A6" s="7" t="inlineStr">
        <is>
          <t>Q2</t>
        </is>
      </c>
      <c r="B6" s="5" t="inlineStr">
        <is>
          <t>Linear Graph Interpretation (y-intercept)</t>
        </is>
      </c>
      <c r="C6" s="5" t="inlineStr">
        <is>
          <t>The graph shown gives the estimated value, in dollars, of a mountain bike as a function of the number of months since it was purchased. The line intersects the y-axis at (0, 275).</t>
        </is>
      </c>
      <c r="D6" s="5" t="inlineStr">
        <is>
          <t>Calculator Allowed. What is the best interpretation of the y-intercept of the graph in this context?</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P6" s="5">
        <f>IF(OR(G6="✅ Đúng", I6="✅ Đúng", K6="✅ Đúng"), "y-intercept (0, b) represents the initial value at time t = 0.", "🔒 Trả lời đúng để mở khóa Strategic Tip!")</f>
        <v/>
      </c>
    </row>
    <row r="7">
      <c r="A7" s="7" t="inlineStr">
        <is>
          <t>Q3</t>
        </is>
      </c>
      <c r="B7" s="5" t="inlineStr">
        <is>
          <t>Percentages &amp; Basic Calculations</t>
        </is>
      </c>
      <c r="C7" s="5" t="inlineStr">
        <is>
          <t>Out of 200 attempts, 55% were successful.</t>
        </is>
      </c>
      <c r="D7" s="5" t="inlineStr">
        <is>
          <t>Calculator Allowed. How many of these attempts were successful?</t>
        </is>
      </c>
      <c r="E7" s="5" t="inlineStr">
        <is>
          <t>Student-Produced Response (Grid-in)</t>
        </is>
      </c>
      <c r="F7" s="14" t="n"/>
      <c r="G7" s="7">
        <f>IF(ISBLANK(F7), "⏳ Chờ đáp án", IF(UPPER(TRIM(F7))="110", "✅ Đúng", "❌ Sai"))</f>
        <v/>
      </c>
      <c r="H7" s="14" t="n"/>
      <c r="I7" s="7">
        <f>IF(ISBLANK(H7), "", IF(UPPER(TRIM(H7))="110", "✅ Đúng", "❌ Sai"))</f>
        <v/>
      </c>
      <c r="J7" s="14" t="n"/>
      <c r="K7" s="7">
        <f>IF(ISBLANK(J7), "", IF(UPPER(TRIM(J7))="110",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P7" s="5">
        <f>IF(OR(G7="✅ Đúng", I7="✅ Đúng", K7="✅ Đúng"), "Percent of Total: Number = Percentage * Total = 0.55 * 200 = 110.", "🔒 Trả lời đúng để mở khóa Strategic Tip!")</f>
        <v/>
      </c>
    </row>
    <row r="8">
      <c r="A8" s="7" t="inlineStr">
        <is>
          <t>Q4</t>
        </is>
      </c>
      <c r="B8" s="5" t="inlineStr">
        <is>
          <t>Equivalent Algebraic Expressions</t>
        </is>
      </c>
      <c r="C8" s="5" t="inlineStr">
        <is>
          <t>Given the expression: 29x^2 + 29.</t>
        </is>
      </c>
      <c r="D8" s="5" t="inlineStr">
        <is>
          <t>Calculator Allowed. Which expression is equivalent to 29x^2 + 29?</t>
        </is>
      </c>
      <c r="E8" s="5" t="inlineStr">
        <is>
          <t>A. Lựa chọn A
B. Lựa chọn B
C. Lựa chọn C
D. Lựa chọn D</t>
        </is>
      </c>
      <c r="F8" s="14" t="n"/>
      <c r="G8" s="7">
        <f>IF(ISBLANK(F8), "⏳ Chờ đáp án", IF(UPPER(TRIM(F8))="A", "✅ Đúng", "❌ Sai"))</f>
        <v/>
      </c>
      <c r="H8" s="14" t="n"/>
      <c r="I8" s="7">
        <f>IF(ISBLANK(H8), "", IF(UPPER(TRIM(H8))="A", "✅ Đúng", "❌ Sai"))</f>
        <v/>
      </c>
      <c r="J8" s="14" t="n"/>
      <c r="K8" s="7">
        <f>IF(ISBLANK(J8), "", IF(UPPER(TRIM(J8))="A",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P8" s="5">
        <f>IF(OR(G8="✅ Đúng", I8="✅ Đúng", K8="✅ Đúng"), "Factoring Out Common Factor: 29x^2 + 29 = 29(x^2 + 1).", "🔒 Trả lời đúng để mở khóa Strategic Tip!")</f>
        <v/>
      </c>
    </row>
    <row r="9">
      <c r="A9" s="7" t="inlineStr">
        <is>
          <t>Q5</t>
        </is>
      </c>
      <c r="B9" s="5" t="inlineStr">
        <is>
          <t>Solving Linear Equations</t>
        </is>
      </c>
      <c r="C9" s="5" t="inlineStr">
        <is>
          <t>Given the equation: 2(x - 3) = 2(90).</t>
        </is>
      </c>
      <c r="D9" s="5" t="inlineStr">
        <is>
          <t>Calculator Allowed. What is the value of x - 3?</t>
        </is>
      </c>
      <c r="E9" s="5" t="inlineStr">
        <is>
          <t>A. Lựa chọn A
B. Lựa chọn B
C. Lựa chọn C
D. Lựa chọn D</t>
        </is>
      </c>
      <c r="F9" s="14" t="n"/>
      <c r="G9" s="7">
        <f>IF(ISBLANK(F9), "⏳ Chờ đáp án", IF(UPPER(TRIM(F9))="C", "✅ Đúng", "❌ Sai"))</f>
        <v/>
      </c>
      <c r="H9" s="14" t="n"/>
      <c r="I9" s="7">
        <f>IF(ISBLANK(H9), "", IF(UPPER(TRIM(H9))="C", "✅ Đúng", "❌ Sai"))</f>
        <v/>
      </c>
      <c r="J9" s="14" t="n"/>
      <c r="K9" s="7">
        <f>IF(ISBLANK(J9), "", IF(UPPER(TRIM(J9))="C",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P9" s="5">
        <f>IF(OR(G9="✅ Đúng", I9="✅ Đúng", K9="✅ Đúng"), "Divide both sides by 2 directly: x - 3 = 90.", "🔒 Trả lời đúng để mở khóa Strategic Tip!")</f>
        <v/>
      </c>
    </row>
    <row r="10">
      <c r="A10" s="7" t="inlineStr">
        <is>
          <t>Q6</t>
        </is>
      </c>
      <c r="B10" s="5" t="inlineStr">
        <is>
          <t>Rates &amp; Unit Conversion</t>
        </is>
      </c>
      <c r="C10" s="5" t="inlineStr">
        <is>
          <t>A commercial water pump drains water from a reservoir at a constant rate of 180 gallons per minute.</t>
        </is>
      </c>
      <c r="D10" s="5" t="inlineStr">
        <is>
          <t>Calculator Allowed. At this rate, how many hours will it take to drain 32,400 gallons of water?</t>
        </is>
      </c>
      <c r="E10" s="5" t="inlineStr">
        <is>
          <t>A. Lựa chọn A
B. Lựa chọn B
C. Lựa chọn C
D. Lựa chọn D</t>
        </is>
      </c>
      <c r="F10" s="14" t="n"/>
      <c r="G10" s="7">
        <f>IF(ISBLANK(F10), "⏳ Chờ đáp án", IF(UPPER(TRIM(F10))="B", "✅ Đúng", "❌ Sai"))</f>
        <v/>
      </c>
      <c r="H10" s="14" t="n"/>
      <c r="I10" s="7">
        <f>IF(ISBLANK(H10), "", IF(UPPER(TRIM(H10))="B", "✅ Đúng", "❌ Sai"))</f>
        <v/>
      </c>
      <c r="J10" s="14" t="n"/>
      <c r="K10" s="7">
        <f>IF(ISBLANK(J10), "", IF(UPPER(TRIM(J10))="B",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P10" s="5">
        <f>IF(OR(G10="✅ Đúng", I10="✅ Đúng", K10="✅ Đúng"), "Time (hours) = Total Gallons / (Rate per min * 60 min/hr) = 32,400 / (180 * 60) = 3.", "🔒 Trả lời đúng để mở khóa Strategic Tip!")</f>
        <v/>
      </c>
    </row>
    <row r="11">
      <c r="A11" s="7" t="inlineStr">
        <is>
          <t>Q7</t>
        </is>
      </c>
      <c r="B11" s="5" t="inlineStr">
        <is>
          <t>Linear Equations in Two Variables</t>
        </is>
      </c>
      <c r="C11" s="5" t="inlineStr">
        <is>
          <t>The equation 4.57x + 6.08y = 902.07 represents a situation where x is the number of smaller bottles sold and y is the number of larger bottles sold.</t>
        </is>
      </c>
      <c r="D11" s="5" t="inlineStr">
        <is>
          <t>Calculator Allowed. According to the equation, what is the price, in dollars, of each smaller bottle?</t>
        </is>
      </c>
      <c r="E11" s="5" t="inlineStr">
        <is>
          <t>Student-Produced Response (Grid-in)</t>
        </is>
      </c>
      <c r="F11" s="14" t="n"/>
      <c r="G11" s="7">
        <f>IF(ISBLANK(F11), "⏳ Chờ đáp án", IF(UPPER(TRIM(F11))="4.57", "✅ Đúng", "❌ Sai"))</f>
        <v/>
      </c>
      <c r="H11" s="14" t="n"/>
      <c r="I11" s="7">
        <f>IF(ISBLANK(H11), "", IF(UPPER(TRIM(H11))="4.57", "✅ Đúng", "❌ Sai"))</f>
        <v/>
      </c>
      <c r="J11" s="14" t="n"/>
      <c r="K11" s="7">
        <f>IF(ISBLANK(J11), "", IF(UPPER(TRIM(J11))="4.57",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P11" s="5">
        <f>IF(OR(G11="✅ Đúng", I11="✅ Đúng", K11="✅ Đúng"), "In Total Cost = a*x + b*y, the coefficient 'a' represents the price per unit x.", "🔒 Trả lời đúng để mở khóa Strategic Tip!")</f>
        <v/>
      </c>
    </row>
    <row r="12">
      <c r="A12" s="7" t="inlineStr">
        <is>
          <t>Q8</t>
        </is>
      </c>
      <c r="B12" s="5" t="inlineStr">
        <is>
          <t>Similar Triangles &amp; Proportions</t>
        </is>
      </c>
      <c r="C12" s="5" t="inlineStr">
        <is>
          <t>Triangle ABC is similar to triangle XYZ, where A, B, and C correspond to X, Y, and Z, respectively. In triangle ABC, AB = 180 and BC = 900. In triangle XYZ, YZ = 80.</t>
        </is>
      </c>
      <c r="D12" s="5" t="inlineStr">
        <is>
          <t>Calculator Allowed. What is the length of XY?</t>
        </is>
      </c>
      <c r="E12" s="5" t="inlineStr">
        <is>
          <t>A. Lựa chọn A
B. Lựa chọn B
C. Lựa chọn C
D. Lựa chọn D</t>
        </is>
      </c>
      <c r="F12" s="14" t="n"/>
      <c r="G12" s="7">
        <f>IF(ISBLANK(F12), "⏳ Chờ đáp án", IF(UPPER(TRIM(F12))="D", "✅ Đúng", "❌ Sai"))</f>
        <v/>
      </c>
      <c r="H12" s="14" t="n"/>
      <c r="I12" s="7">
        <f>IF(ISBLANK(H12), "", IF(UPPER(TRIM(H12))="D", "✅ Đúng", "❌ Sai"))</f>
        <v/>
      </c>
      <c r="J12" s="14" t="n"/>
      <c r="K12" s="7">
        <f>IF(ISBLANK(J12), "", IF(UPPER(TRIM(J12))="D",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c>
      <c r="P12" s="5">
        <f>IF(OR(G12="✅ Đúng", I12="✅ Đúng", K12="✅ Đúng"), "Similar Triangles Ratio: AB / XY = BC / YZ =&gt; 180 / XY = 900 / 80 =&gt; XY = 16.", "🔒 Trả lời đúng để mở khóa Strategic Tip!")</f>
        <v/>
      </c>
    </row>
    <row r="13">
      <c r="A13" s="7" t="inlineStr">
        <is>
          <t>Q9</t>
        </is>
      </c>
      <c r="B13" s="5" t="inlineStr">
        <is>
          <t>Absolute Value Equations</t>
        </is>
      </c>
      <c r="C13" s="5" t="inlineStr">
        <is>
          <t>Given the equation: |x - 43| = 0.</t>
        </is>
      </c>
      <c r="D13" s="5" t="inlineStr">
        <is>
          <t>Calculator Allowed. Which value is a solution to the given equation?</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c>
      <c r="P13" s="5">
        <f>IF(OR(G13="✅ Đúng", I13="✅ Đúng", K13="✅ Đúng"), "|A| = 0 implies A = 0 =&gt; x = 43.", "🔒 Trả lời đúng để mở khóa Strategic Tip!")</f>
        <v/>
      </c>
    </row>
    <row r="14">
      <c r="A14" s="7" t="inlineStr">
        <is>
          <t>Q10</t>
        </is>
      </c>
      <c r="B14" s="5" t="inlineStr">
        <is>
          <t>Finding Line Equation from Points</t>
        </is>
      </c>
      <c r="C14" s="5" t="inlineStr">
        <is>
          <t>In the xy-plane, line k passes through the points (0, -8) and (1, -5).</t>
        </is>
      </c>
      <c r="D14" s="5" t="inlineStr">
        <is>
          <t>Calculator Allowed. Which equation defines line k?</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c>
      <c r="P14" s="5">
        <f>IF(OR(G14="✅ Đúng", I14="✅ Đúng", K14="✅ Đúng"), "Slope m = (y2 - y1)/(x2 - x1) = 3, y-intercept = -8 =&gt; y = 3x - 8.", "🔒 Trả lời đúng để mở khóa Strategic Tip!")</f>
        <v/>
      </c>
    </row>
    <row r="15">
      <c r="A15" s="7" t="inlineStr">
        <is>
          <t>Q11</t>
        </is>
      </c>
      <c r="B15" s="5" t="inlineStr">
        <is>
          <t>Scatterplot Best-Fit Line Model</t>
        </is>
      </c>
      <c r="C15" s="5" t="inlineStr">
        <is>
          <t>A scatterplot shows data points with a positive slope passing near (0, 0.2) and (4, 9.2).</t>
        </is>
      </c>
      <c r="D15" s="5" t="inlineStr">
        <is>
          <t>Calculator Allowed. Which equation is the most appropriate linear model for the data?</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P15" s="5">
        <f>IF(OR(G15="✅ Đúng", I15="✅ Đúng", K15="✅ Đúng"), "Linear Model: y = b + m*x where b ≈ 0.2 and m ≈ 2.25.", "🔒 Trả lời đúng để mở khóa Strategic Tip!")</f>
        <v/>
      </c>
    </row>
    <row r="16">
      <c r="A16" s="7" t="inlineStr">
        <is>
          <t>Q12</t>
        </is>
      </c>
      <c r="B16" s="5" t="inlineStr">
        <is>
          <t>Rational Function Intercepts</t>
        </is>
      </c>
      <c r="C16" s="5" t="inlineStr">
        <is>
          <t>Given the function y = (21 - x) / (ax + b), where a and b are positive constants.</t>
        </is>
      </c>
      <c r="D16" s="5" t="inlineStr">
        <is>
          <t>Calculator Allowed. What is the x-intercept of the graph in the xy-plane?</t>
        </is>
      </c>
      <c r="E16" s="5" t="inlineStr">
        <is>
          <t>A. Lựa chọn A
B. Lựa chọn B
C. Lựa chọn C
D. Lựa chọn D</t>
        </is>
      </c>
      <c r="F16" s="14" t="n"/>
      <c r="G16" s="7">
        <f>IF(ISBLANK(F16), "⏳ Chờ đáp án", IF(UPPER(TRIM(F16))="A", "✅ Đúng", "❌ Sai"))</f>
        <v/>
      </c>
      <c r="H16" s="14" t="n"/>
      <c r="I16" s="7">
        <f>IF(ISBLANK(H16), "", IF(UPPER(TRIM(H16))="A", "✅ Đúng", "❌ Sai"))</f>
        <v/>
      </c>
      <c r="J16" s="14" t="n"/>
      <c r="K16" s="7">
        <f>IF(ISBLANK(J16), "", IF(UPPER(TRIM(J16))="A",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P16" s="5">
        <f>IF(OR(G16="✅ Đúng", I16="✅ Đúng", K16="✅ Đúng"), "x-intercept occurs when y = 0 =&gt; Numerator 21 - x = 0 =&gt; x = 21.", "🔒 Trả lời đúng để mở khóa Strategic Tip!")</f>
        <v/>
      </c>
    </row>
    <row r="17">
      <c r="A17" s="7" t="inlineStr">
        <is>
          <t>Q13</t>
        </is>
      </c>
      <c r="B17" s="5" t="inlineStr">
        <is>
          <t>Inequalities &amp; Speed/Distance</t>
        </is>
      </c>
      <c r="C17" s="5" t="inlineStr">
        <is>
          <t>A model estimates that a glacier moves between 17 and 24 centimeters per day.</t>
        </is>
      </c>
      <c r="D17" s="5" t="inlineStr">
        <is>
          <t>Calculator Allowed. Which inequality represents possible values of x, where x is the total distance, in centimeters, the glacier moves in 2 days?</t>
        </is>
      </c>
      <c r="E17" s="5" t="inlineStr">
        <is>
          <t>A. Lựa chọn A
B. Lựa chọn B
C. Lựa chọn C
D. Lựa chọn D</t>
        </is>
      </c>
      <c r="F17" s="14" t="n"/>
      <c r="G17" s="7">
        <f>IF(ISBLANK(F17), "⏳ Chờ đáp án", IF(UPPER(TRIM(F17))="D", "✅ Đúng", "❌ Sai"))</f>
        <v/>
      </c>
      <c r="H17" s="14" t="n"/>
      <c r="I17" s="7">
        <f>IF(ISBLANK(H17), "", IF(UPPER(TRIM(H17))="D", "✅ Đúng", "❌ Sai"))</f>
        <v/>
      </c>
      <c r="J17" s="14" t="n"/>
      <c r="K17" s="7">
        <f>IF(ISBLANK(J17), "", IF(UPPER(TRIM(J17))="D",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P17" s="5">
        <f>IF(OR(G17="✅ Đúng", I17="✅ Đúng", K17="✅ Đúng"), "Range for 2 days = [Min rate * 2, Max rate * 2] = [(17)(2), (24)(2)].", "🔒 Trả lời đúng để mở khóa Strategic Tip!")</f>
        <v/>
      </c>
    </row>
    <row r="18">
      <c r="A18" s="7" t="inlineStr">
        <is>
          <t>Q14</t>
        </is>
      </c>
      <c r="B18" s="5" t="inlineStr">
        <is>
          <t>Unit Conversion (Ancient Units)</t>
        </is>
      </c>
      <c r="C18" s="5" t="inlineStr">
        <is>
          <t>In an ancient Roman measurement system, a leuga was a unit of length equal to 7,500 pedes.</t>
        </is>
      </c>
      <c r="D18" s="5" t="inlineStr">
        <is>
          <t>Calculator Allowed. In this measurement system, how many pedes were equivalent to 4.6 leugas?</t>
        </is>
      </c>
      <c r="E18" s="5" t="inlineStr">
        <is>
          <t>Student-Produced Response (Grid-in)</t>
        </is>
      </c>
      <c r="F18" s="14" t="n"/>
      <c r="G18" s="7">
        <f>IF(ISBLANK(F18), "⏳ Chờ đáp án", IF(UPPER(TRIM(F18))="34500", "✅ Đúng", "❌ Sai"))</f>
        <v/>
      </c>
      <c r="H18" s="14" t="n"/>
      <c r="I18" s="7">
        <f>IF(ISBLANK(H18), "", IF(UPPER(TRIM(H18))="34500", "✅ Đúng", "❌ Sai"))</f>
        <v/>
      </c>
      <c r="J18" s="14" t="n"/>
      <c r="K18" s="7">
        <f>IF(ISBLANK(J18), "", IF(UPPER(TRIM(J18))="34500",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c>
      <c r="P18" s="5">
        <f>IF(OR(G18="✅ Đúng", I18="✅ Đúng", K18="✅ Đúng"), "Unit Conversion: Pedes = 4.6 * 7,500 = 34,500.", "🔒 Trả lời đúng để mở khóa Strategic Tip!")</f>
        <v/>
      </c>
    </row>
    <row r="19">
      <c r="A19" s="7" t="inlineStr">
        <is>
          <t>Q15</t>
        </is>
      </c>
      <c r="B19" s="5" t="inlineStr">
        <is>
          <t>Geometry (Area &amp; Factoring)</t>
        </is>
      </c>
      <c r="C19" s="5" t="inlineStr">
        <is>
          <t>A rectangle has a width of n yards and a length of (n + 7) yards. The area of the rectangle is 198 square yards.</t>
        </is>
      </c>
      <c r="D19" s="5" t="inlineStr">
        <is>
          <t>Calculator Allowed. What is the value of n?</t>
        </is>
      </c>
      <c r="E19" s="5" t="inlineStr">
        <is>
          <t>Student-Produced Response (Grid-in)</t>
        </is>
      </c>
      <c r="F19" s="14" t="n"/>
      <c r="G19" s="7">
        <f>IF(ISBLANK(F19), "⏳ Chờ đáp án", IF(UPPER(TRIM(F19))="11", "✅ Đúng", "❌ Sai"))</f>
        <v/>
      </c>
      <c r="H19" s="14" t="n"/>
      <c r="I19" s="7">
        <f>IF(ISBLANK(H19), "", IF(UPPER(TRIM(H19))="11", "✅ Đúng", "❌ Sai"))</f>
        <v/>
      </c>
      <c r="J19" s="14" t="n"/>
      <c r="K19" s="7">
        <f>IF(ISBLANK(J19), "", IF(UPPER(TRIM(J19))="11",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P19" s="5">
        <f>IF(OR(G19="✅ Đúng", I19="✅ Đúng", K19="✅ Đúng"), "Area = n(n + 7) = 198 =&gt; n = 11 (since 11 * 18 = 198).", "🔒 Trả lời đúng để mở khóa Strategic Tip!")</f>
        <v/>
      </c>
    </row>
    <row r="20">
      <c r="A20" s="7" t="inlineStr">
        <is>
          <t>Q16</t>
        </is>
      </c>
      <c r="B20" s="5" t="inlineStr">
        <is>
          <t>Rearranging Formulas (Kinetic Energy)</t>
        </is>
      </c>
      <c r="C20" s="5" t="inlineStr">
        <is>
          <t>For an object with a mass of 55 kg, the given equation 55 = 2K / (v^2) relates kinetic energy K to speed v.</t>
        </is>
      </c>
      <c r="D20" s="5" t="inlineStr">
        <is>
          <t>Calculator Allowed. Which equation correctly expresses speed v in terms of K?</t>
        </is>
      </c>
      <c r="E20" s="5" t="inlineStr">
        <is>
          <t>A. Lựa chọn A
B. Lựa chọn B
C. Lựa chọn C
D. Lựa chọn D</t>
        </is>
      </c>
      <c r="F20" s="14" t="n"/>
      <c r="G20" s="7">
        <f>IF(ISBLANK(F20), "⏳ Chờ đáp án", IF(UPPER(TRIM(F20))="D", "✅ Đúng", "❌ Sai"))</f>
        <v/>
      </c>
      <c r="H20" s="14" t="n"/>
      <c r="I20" s="7">
        <f>IF(ISBLANK(H20), "", IF(UPPER(TRIM(H20))="D", "✅ Đúng", "❌ Sai"))</f>
        <v/>
      </c>
      <c r="J20" s="14" t="n"/>
      <c r="K20" s="7">
        <f>IF(ISBLANK(J20), "", IF(UPPER(TRIM(J20))="D",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P20" s="5">
        <f>IF(OR(G20="✅ Đúng", I20="✅ Đúng", K20="✅ Đúng"), "Isolate v: v^2 = 2K / 55 =&gt; v = sqrt(2K / 55).", "🔒 Trả lời đúng để mở khóa Strategic Tip!")</f>
        <v/>
      </c>
    </row>
    <row r="21" ht="15.75" customHeight="1" s="19">
      <c r="A21" s="7" t="inlineStr">
        <is>
          <t>Q17</t>
        </is>
      </c>
      <c r="B21" s="5" t="inlineStr">
        <is>
          <t>Exponential Growth Model</t>
        </is>
      </c>
      <c r="C21" s="5" t="inlineStr">
        <is>
          <t>A company's solar cell production grew by approximately 22% each year for 5 years following 2013, starting at 7,138 peak kilowatts in 2013.</t>
        </is>
      </c>
      <c r="D21" s="5" t="inlineStr">
        <is>
          <t>Calculator Allowed. Which function best models the solar cell production C(n) n years after 2013?</t>
        </is>
      </c>
      <c r="E21" s="5" t="inlineStr">
        <is>
          <t>A. Lựa chọn A
B. Lựa chọn B
C. Lựa chọn C
D. Lựa chọn D</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P21" s="5">
        <f>IF(OR(G21="✅ Đúng", I21="✅ Đúng", K21="✅ Đúng"), "Exponential Growth Model: P(t) = P0 * (1 + r)^t = 7,138 * (1.22)^n.", "🔒 Trả lời đúng để mở khóa Strategic Tip!")</f>
        <v/>
      </c>
    </row>
    <row r="22" ht="15.75" customHeight="1" s="19">
      <c r="A22" s="7" t="inlineStr">
        <is>
          <t>Q18</t>
        </is>
      </c>
      <c r="B22" s="5" t="inlineStr">
        <is>
          <t>Trigonometry (Special Right Triangle 45-45-90)</t>
        </is>
      </c>
      <c r="C22" s="5" t="inlineStr">
        <is>
          <t>In right triangle ABC with angle B = 90 deg and angle C = 45 deg, hypotenuse AC has length x = 19.</t>
        </is>
      </c>
      <c r="D22" s="5" t="inlineStr">
        <is>
          <t>Calculator Allowed. What is the value of sin A?</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c>
      <c r="P22" s="5">
        <f>IF(OR(G22="✅ Đúng", I22="✅ Đúng", K22="✅ Đúng"), "Special Right Triangle 45-45-90: sin(45 deg) = 1/sqrt(2).", "🔒 Trả lời đúng để mở khóa Strategic Tip!")</f>
        <v/>
      </c>
    </row>
    <row r="23" ht="15.75" customHeight="1" s="19">
      <c r="A23" s="7" t="inlineStr">
        <is>
          <t>Q19</t>
        </is>
      </c>
      <c r="B23" s="5" t="inlineStr">
        <is>
          <t>3D Geometry (Right Square Prism Volume)</t>
        </is>
      </c>
      <c r="C23" s="5" t="inlineStr">
        <is>
          <t>A right square prism has a height of 15 units and a volume of 1,815 cubic units.</t>
        </is>
      </c>
      <c r="D23" s="5" t="inlineStr">
        <is>
          <t>Calculator Allowed. What is the length, in units, of an edge of the base?</t>
        </is>
      </c>
      <c r="E23" s="5" t="inlineStr">
        <is>
          <t>Student-Produced Response (Grid-in)</t>
        </is>
      </c>
      <c r="F23" s="14" t="n"/>
      <c r="G23" s="7">
        <f>IF(ISBLANK(F23), "⏳ Chờ đáp án", IF(UPPER(TRIM(F23))="11", "✅ Đúng", "❌ Sai"))</f>
        <v/>
      </c>
      <c r="H23" s="14" t="n"/>
      <c r="I23" s="7">
        <f>IF(ISBLANK(H23), "", IF(UPPER(TRIM(H23))="11", "✅ Đúng", "❌ Sai"))</f>
        <v/>
      </c>
      <c r="J23" s="14" t="n"/>
      <c r="K23" s="7">
        <f>IF(ISBLANK(J23), "", IF(UPPER(TRIM(J23))="11",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c>
      <c r="P23" s="5">
        <f>IF(OR(G23="✅ Đúng", I23="✅ Đúng", K23="✅ Đúng"), "Volume of Square Prism = s^2 * h =&gt; s^2 = 1815 / 15 = 121 =&gt; s = 11.", "🔒 Trả lời đúng để mở khóa Strategic Tip!")</f>
        <v/>
      </c>
    </row>
    <row r="24" ht="15.75" customHeight="1" s="19">
      <c r="A24" s="7" t="inlineStr">
        <is>
          <t>Q20</t>
        </is>
      </c>
      <c r="B24" s="5" t="inlineStr">
        <is>
          <t>Systems of Non-linear Equations</t>
        </is>
      </c>
      <c r="C24" s="5" t="inlineStr">
        <is>
          <t>System of equations: y = x - 1 and y = 19(x - 1)^2 - 20.</t>
        </is>
      </c>
      <c r="D24" s="5" t="inlineStr">
        <is>
          <t>Calculator Allowed. What is one possible value of x - 1?</t>
        </is>
      </c>
      <c r="E24" s="5" t="inlineStr">
        <is>
          <t>A. Lựa chọn A
B. Lựa chọn B
C. Lựa chọn C
D. Lựa chọn D</t>
        </is>
      </c>
      <c r="F24" s="14" t="n"/>
      <c r="G24" s="7">
        <f>IF(ISBLANK(F24), "⏳ Chờ đáp án", IF(UPPER(TRIM(F24))="C", "✅ Đúng", "❌ Sai"))</f>
        <v/>
      </c>
      <c r="H24" s="14" t="n"/>
      <c r="I24" s="7">
        <f>IF(ISBLANK(H24), "", IF(UPPER(TRIM(H24))="C", "✅ Đúng", "❌ Sai"))</f>
        <v/>
      </c>
      <c r="J24" s="14" t="n"/>
      <c r="K24" s="7">
        <f>IF(ISBLANK(J24), "", IF(UPPER(TRIM(J24))="C",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P24" s="5">
        <f>IF(OR(G24="✅ Đúng", I24="✅ Đúng", K24="✅ Đúng"), "Substitute u = x - 1 =&gt; 19u^2 - u - 20 = 0 =&gt; u = 1 or u = 20/19.", "🔒 Trả lời đúng để mở khóa Strategic Tip!")</f>
        <v/>
      </c>
    </row>
    <row r="25" ht="15.75" customHeight="1" s="19">
      <c r="A25" s="7" t="inlineStr">
        <is>
          <t>Q21</t>
        </is>
      </c>
      <c r="B25" s="5" t="inlineStr">
        <is>
          <t>Systems of Linear Equations (No Solution)</t>
        </is>
      </c>
      <c r="C25" s="5" t="inlineStr">
        <is>
          <t>System of equations: 18x + 6y = 8y + 9 and ty = 1/5 + 9x.</t>
        </is>
      </c>
      <c r="D25" s="5" t="inlineStr">
        <is>
          <t>Calculator Allowed. In the given system, t is a constant. If the system has no solution, what is the value of t?</t>
        </is>
      </c>
      <c r="E25" s="5" t="inlineStr">
        <is>
          <t>Student-Produced Response (Grid-in)</t>
        </is>
      </c>
      <c r="F25" s="14" t="n"/>
      <c r="G25" s="7">
        <f>IF(ISBLANK(F25), "⏳ Chờ đáp án", IF(UPPER(TRIM(F25))="1", "✅ Đúng", "❌ Sai"))</f>
        <v/>
      </c>
      <c r="H25" s="14" t="n"/>
      <c r="I25" s="7">
        <f>IF(ISBLANK(H25), "", IF(UPPER(TRIM(H25))="1", "✅ Đúng", "❌ Sai"))</f>
        <v/>
      </c>
      <c r="J25" s="14" t="n"/>
      <c r="K25" s="7">
        <f>IF(ISBLANK(J25), "", IF(UPPER(TRIM(J25))="1",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P25" s="5">
        <f>IF(OR(G25="✅ Đúng", I25="✅ Đúng", K25="✅ Đúng"), "Parallel Lines Condition: m1 = m2 =&gt; t = 1.", "🔒 Trả lời đúng để mở khóa Strategic Tip!")</f>
        <v/>
      </c>
    </row>
    <row r="26" ht="15.75" customHeight="1" s="19">
      <c r="A26" s="7" t="inlineStr">
        <is>
          <t>Q22</t>
        </is>
      </c>
      <c r="B26" s="5" t="inlineStr">
        <is>
          <t>Circle Geometry (Radius from Intercepts)</t>
        </is>
      </c>
      <c r="C26" s="5" t="inlineStr">
        <is>
          <t>A circle in the xy-plane has center (24, 5) and y-intercepts (0, -27) and (0, 37).</t>
        </is>
      </c>
      <c r="D26" s="5" t="inlineStr">
        <is>
          <t>Calculator Allowed. What is the radius of this circle?</t>
        </is>
      </c>
      <c r="E26" s="5" t="inlineStr">
        <is>
          <t>A. Lựa chọn A
B. Lựa chọn B
C. Lựa chọn C
D. Lựa chọn D</t>
        </is>
      </c>
      <c r="F26" s="14" t="n"/>
      <c r="G26" s="7">
        <f>IF(ISBLANK(F26), "⏳ Chờ đáp án", IF(UPPER(TRIM(F26))="A", "✅ Đúng", "❌ Sai"))</f>
        <v/>
      </c>
      <c r="H26" s="14" t="n"/>
      <c r="I26" s="7">
        <f>IF(ISBLANK(H26), "", IF(UPPER(TRIM(H26))="A", "✅ Đúng", "❌ Sai"))</f>
        <v/>
      </c>
      <c r="J26" s="14" t="n"/>
      <c r="K26" s="7">
        <f>IF(ISBLANK(J26), "", IF(UPPER(TRIM(J26))="A",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P26" s="5">
        <f>IF(OR(G26="✅ Đúng", I26="✅ Đúng", K26="✅ Đúng"), "Distance Formula: r = sqrt((x_center - 0)^2 + (y_center - y_int)^2) = sqrt(24^2 + 32^2) = 40.",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Circle Equations (Radius)</t>
        </is>
      </c>
      <c r="C5" s="5" t="inlineStr">
        <is>
          <t>A circle in the xy-plane has equation (x - 4)^2 + (y + 1)^2 = 49.</t>
        </is>
      </c>
      <c r="D5" s="5" t="inlineStr">
        <is>
          <t>Calculator Allowed. What is the radius of the circle?</t>
        </is>
      </c>
      <c r="E5" s="5" t="inlineStr">
        <is>
          <t>A. Lựa chọn A
B. Lựa chọn B
C. Lựa chọn C
D. Lựa chọn D</t>
        </is>
      </c>
      <c r="F5" s="14" t="n"/>
      <c r="G5" s="7">
        <f>IF(ISBLANK(F5), "⏳ Chờ đáp án", IF(UPPER(TRIM(F5))="A", "✅ Đúng", "❌ Sai"))</f>
        <v/>
      </c>
      <c r="H5" s="14" t="n"/>
      <c r="I5" s="7">
        <f>IF(ISBLANK(H5), "", IF(UPPER(TRIM(H5))="A", "✅ Đúng", "❌ Sai"))</f>
        <v/>
      </c>
      <c r="J5" s="14" t="n"/>
      <c r="K5" s="7">
        <f>IF(ISBLANK(J5), "", IF(UPPER(TRIM(J5))="A",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P5" s="5">
        <f>IF(OR(G5="✅ Đúng", I5="✅ Đúng", K5="✅ Đúng"), "Circle Equation: (x - h)^2 + (y - k)^2 = r^2 =&gt; r = sqrt(49) = 7.", "🔒 Trả lời đúng để mở khóa Strategic Tip!")</f>
        <v/>
      </c>
    </row>
    <row r="6">
      <c r="A6" s="7" t="inlineStr">
        <is>
          <t>Q2</t>
        </is>
      </c>
      <c r="B6" s="5" t="inlineStr">
        <is>
          <t>Linear Functions &amp; Table Data</t>
        </is>
      </c>
      <c r="C6" s="5" t="inlineStr">
        <is>
          <t>A table shows area x (sq ft) and water f(x) (gallons): (2400, 4320), (3600, 6480), (4800, 8640).</t>
        </is>
      </c>
      <c r="D6" s="5" t="inlineStr">
        <is>
          <t>Calculator Allowed. Which equation defines f(x)?</t>
        </is>
      </c>
      <c r="E6" s="5" t="inlineStr">
        <is>
          <t>A. Lựa chọn A
B. Lựa chọn B
C. Lựa chọn C
D. Lựa chọn D</t>
        </is>
      </c>
      <c r="F6" s="14" t="n"/>
      <c r="G6" s="7">
        <f>IF(ISBLANK(F6), "⏳ Chờ đáp án", IF(UPPER(TRIM(F6))="B", "✅ Đúng", "❌ Sai"))</f>
        <v/>
      </c>
      <c r="H6" s="14" t="n"/>
      <c r="I6" s="7">
        <f>IF(ISBLANK(H6), "", IF(UPPER(TRIM(H6))="B", "✅ Đúng", "❌ Sai"))</f>
        <v/>
      </c>
      <c r="J6" s="14" t="n"/>
      <c r="K6" s="7">
        <f>IF(ISBLANK(J6), "", IF(UPPER(TRIM(J6))="B",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P6" s="5">
        <f>IF(OR(G6="✅ Đúng", I6="✅ Đúng", K6="✅ Đúng"), "Direct Variation Ratio: k = y / x = 4320 / 2400 = 1.8.", "🔒 Trả lời đúng để mở khóa Strategic Tip!")</f>
        <v/>
      </c>
    </row>
    <row r="7">
      <c r="A7" s="7" t="inlineStr">
        <is>
          <t>Q3</t>
        </is>
      </c>
      <c r="B7" s="5" t="inlineStr">
        <is>
          <t>Linear Equations (Infinitely Many Solutions)</t>
        </is>
      </c>
      <c r="C7" s="5" t="inlineStr">
        <is>
          <t>Given the equation: 15x + 435 = a(x + 29).</t>
        </is>
      </c>
      <c r="D7" s="5" t="inlineStr">
        <is>
          <t>Calculator Allowed. If the equation has infinitely many solutions, what is the value of a?</t>
        </is>
      </c>
      <c r="E7" s="5" t="inlineStr">
        <is>
          <t>Student-Produced Response (Grid-in)</t>
        </is>
      </c>
      <c r="F7" s="14" t="n"/>
      <c r="G7" s="7">
        <f>IF(ISBLANK(F7), "⏳ Chờ đáp án", IF(UPPER(TRIM(F7))="15", "✅ Đúng", "❌ Sai"))</f>
        <v/>
      </c>
      <c r="H7" s="14" t="n"/>
      <c r="I7" s="7">
        <f>IF(ISBLANK(H7), "", IF(UPPER(TRIM(H7))="15", "✅ Đúng", "❌ Sai"))</f>
        <v/>
      </c>
      <c r="J7" s="14" t="n"/>
      <c r="K7" s="7">
        <f>IF(ISBLANK(J7), "", IF(UPPER(TRIM(J7))="15",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P7" s="5">
        <f>IF(OR(G7="✅ Đúng", I7="✅ Đúng", K7="✅ Đúng"), "Infinitely Many Solutions: Identical coefficients on both sides =&gt; a = 15.", "🔒 Trả lời đúng để mở khóa Strategic Tip!")</f>
        <v/>
      </c>
    </row>
    <row r="8">
      <c r="A8" s="7" t="inlineStr">
        <is>
          <t>Q4</t>
        </is>
      </c>
      <c r="B8" s="5" t="inlineStr">
        <is>
          <t>Linear Modeling (Pricing Structure)</t>
        </is>
      </c>
      <c r="C8" s="5" t="inlineStr">
        <is>
          <t>A plumbing company charges 116 dollars for the first hour and 70 dollars for each additional hour, plus parts cost z dollars (x &gt;= 1).</t>
        </is>
      </c>
      <c r="D8" s="5" t="inlineStr">
        <is>
          <t>Calculator Allowed. Which equation represents total cost y?</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c>
      <c r="P8" s="5">
        <f>IF(OR(G8="✅ Đúng", I8="✅ Đúng", K8="✅ Đúng"), "Cost Model: y = First Hour + Additional Hours*(x - 1) + Parts = 116 + 70(x - 1) + z = 70x + z + 46.", "🔒 Trả lời đúng để mở khóa Strategic Tip!")</f>
        <v/>
      </c>
    </row>
    <row r="9">
      <c r="A9" s="7" t="inlineStr">
        <is>
          <t>Q5</t>
        </is>
      </c>
      <c r="B9" s="5" t="inlineStr">
        <is>
          <t>Absolute Value Functions</t>
        </is>
      </c>
      <c r="C9" s="5" t="inlineStr">
        <is>
          <t>Function h(x) = |x - 8| - |6 - x| + a. Given h(-4) = 1.</t>
        </is>
      </c>
      <c r="D9" s="5" t="inlineStr">
        <is>
          <t>Calculator Allowed. What is the value of a?</t>
        </is>
      </c>
      <c r="E9" s="5" t="inlineStr">
        <is>
          <t>Student-Produced Response (Grid-in)</t>
        </is>
      </c>
      <c r="F9" s="14" t="n"/>
      <c r="G9" s="7">
        <f>IF(ISBLANK(F9), "⏳ Chờ đáp án", IF(UPPER(TRIM(F9))="-1", "✅ Đúng", "❌ Sai"))</f>
        <v/>
      </c>
      <c r="H9" s="14" t="n"/>
      <c r="I9" s="7">
        <f>IF(ISBLANK(H9), "", IF(UPPER(TRIM(H9))="-1", "✅ Đúng", "❌ Sai"))</f>
        <v/>
      </c>
      <c r="J9" s="14" t="n"/>
      <c r="K9" s="7">
        <f>IF(ISBLANK(J9), "", IF(UPPER(TRIM(J9))="-1",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P9" s="5">
        <f>IF(OR(G9="✅ Đúng", I9="✅ Đúng", K9="✅ Đúng"), "Evaluate h(-4): 12 - 10 + a = 1 =&gt; 2 + a = 1 =&gt; a = -1.", "🔒 Trả lời đúng để mở khóa Strategic Tip!")</f>
        <v/>
      </c>
    </row>
    <row r="10">
      <c r="A10" s="7" t="inlineStr">
        <is>
          <t>Q6</t>
        </is>
      </c>
      <c r="B10" s="5" t="inlineStr">
        <is>
          <t>Perpendicular Lines Slope</t>
        </is>
      </c>
      <c r="C10" s="5" t="inlineStr">
        <is>
          <t>Line h is defined by 2x + 3y - 30 = 0. Line j is perpendicular to line h in the xy-plane.</t>
        </is>
      </c>
      <c r="D10" s="5" t="inlineStr">
        <is>
          <t>Calculator Allowed. What is the slope of line j?</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P10" s="5">
        <f>IF(OR(G10="✅ Đúng", I10="✅ Đúng", K10="✅ Đúng"), "Perpendicular Slope Condition: m1 * m2 = -1 =&gt; m_j = 3/2.", "🔒 Trả lời đúng để mở khóa Strategic Tip!")</f>
        <v/>
      </c>
    </row>
    <row r="11">
      <c r="A11" s="7" t="inlineStr">
        <is>
          <t>Q7</t>
        </is>
      </c>
      <c r="B11" s="5" t="inlineStr">
        <is>
          <t>Exponential Population Growth Rate</t>
        </is>
      </c>
      <c r="C11" s="5" t="inlineStr">
        <is>
          <t>Model P(t) = 250(1.08)^t gives the population after t hours.</t>
        </is>
      </c>
      <c r="D11" s="5" t="inlineStr">
        <is>
          <t>Calculator Allowed. By what percentage does the population increase each hour?</t>
        </is>
      </c>
      <c r="E11" s="5" t="inlineStr">
        <is>
          <t>A. 0.08%
B. 8%
C. 25%
D. 108%</t>
        </is>
      </c>
      <c r="F11" s="14" t="n"/>
      <c r="G11" s="7">
        <f>IF(ISBLANK(F11), "⏳ Chờ đáp án", IF(UPPER(TRIM(F11))="B", "✅ Đúng", "❌ Sai"))</f>
        <v/>
      </c>
      <c r="H11" s="14" t="n"/>
      <c r="I11" s="7">
        <f>IF(ISBLANK(H11), "", IF(UPPER(TRIM(H11))="B", "✅ Đúng", "❌ Sai"))</f>
        <v/>
      </c>
      <c r="J11" s="14" t="n"/>
      <c r="K11" s="7">
        <f>IF(ISBLANK(J11), "", IF(UPPER(TRIM(J11))="B",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P11" s="5">
        <f>IF(OR(G11="✅ Đúng", I11="✅ Đúng", K11="✅ Đúng"), "Growth Factor = 1 + r =&gt; 1.08 = 1 + 0.08 =&gt; r = 8%.", "🔒 Trả lời đúng để mở khóa Strategic Tip!")</f>
        <v/>
      </c>
    </row>
    <row r="12">
      <c r="A12" s="7" t="inlineStr">
        <is>
          <t>Q8</t>
        </is>
      </c>
      <c r="B12" s="5" t="inlineStr">
        <is>
          <t>Exponential Cooling Evaluation</t>
        </is>
      </c>
      <c r="C12" s="5" t="inlineStr">
        <is>
          <t>Temperature function g(t) = 296 + (362 - 296)(2.72)^(-0.104t).</t>
        </is>
      </c>
      <c r="D12" s="5" t="inlineStr">
        <is>
          <t>Calculator Allowed. What was the approximate temperature, in kelvins, when the liquid was placed on the table (t = 0)?</t>
        </is>
      </c>
      <c r="E12" s="5" t="inlineStr">
        <is>
          <t>Student-Produced Response (Grid-in)</t>
        </is>
      </c>
      <c r="F12" s="14" t="n"/>
      <c r="G12" s="7">
        <f>IF(ISBLANK(F12), "⏳ Chờ đáp án", IF(UPPER(TRIM(F12))="362", "✅ Đúng", "❌ Sai"))</f>
        <v/>
      </c>
      <c r="H12" s="14" t="n"/>
      <c r="I12" s="7">
        <f>IF(ISBLANK(H12), "", IF(UPPER(TRIM(H12))="362", "✅ Đúng", "❌ Sai"))</f>
        <v/>
      </c>
      <c r="J12" s="14" t="n"/>
      <c r="K12" s="7">
        <f>IF(ISBLANK(J12), "", IF(UPPER(TRIM(J12))="362",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c>
      <c r="P12" s="5">
        <f>IF(OR(G12="✅ Đúng", I12="✅ Đúng", K12="✅ Đúng"), "Evaluate at t = 0: g(0) = 296 + (362 - 296) * 1 = 362.", "🔒 Trả lời đúng để mở khóa Strategic Tip!")</f>
        <v/>
      </c>
    </row>
    <row r="13">
      <c r="A13" s="7" t="inlineStr">
        <is>
          <t>Q9</t>
        </is>
      </c>
      <c r="B13" s="5" t="inlineStr">
        <is>
          <t>Linear Inequalities (Graphing)</t>
        </is>
      </c>
      <c r="C13" s="5" t="inlineStr">
        <is>
          <t>A shaded region lies below the line passing through (0, 4) with slope -3.</t>
        </is>
      </c>
      <c r="D13" s="5" t="inlineStr">
        <is>
          <t>Calculator Allowed. Which inequality represents the shaded region?</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P13" s="5">
        <f>IF(OR(G13="✅ Đúng", I13="✅ Đúng", K13="✅ Đúng"), "Linear Inequality: Region below solid line y = -3x + 4 is y &lt; -3x + 4.", "🔒 Trả lời đúng để mở khóa Strategic Tip!")</f>
        <v/>
      </c>
    </row>
    <row r="14">
      <c r="A14" s="7" t="inlineStr">
        <is>
          <t>Q10</t>
        </is>
      </c>
      <c r="B14" s="5" t="inlineStr">
        <is>
          <t>Systems of Linear Equations (Substitution)</t>
        </is>
      </c>
      <c r="C14" s="5" t="inlineStr">
        <is>
          <t>System of equations: 3(2x) + 8(9y) = 534 and 3(2x) - 8(9y) = -618.</t>
        </is>
      </c>
      <c r="D14" s="5" t="inlineStr">
        <is>
          <t>Calculator Allowed. What is the value of 2x + 9y?</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P14" s="5">
        <f>IF(OR(G14="✅ Đúng", I14="✅ Đúng", K14="✅ Đúng"), "Add equations: 12x = -84 =&gt; x = -7 =&gt; 2x = -14; 144y = 1152 =&gt; 9y = 72 =&gt; -14 + 72 = 58.", "🔒 Trả lời đúng để mở khóa Strategic Tip!")</f>
        <v/>
      </c>
    </row>
    <row r="15">
      <c r="A15" s="7" t="inlineStr">
        <is>
          <t>Q11</t>
        </is>
      </c>
      <c r="B15" s="5" t="inlineStr">
        <is>
          <t>Quadratic Vertex &amp; Maximum</t>
        </is>
      </c>
      <c r="C15" s="5" t="inlineStr">
        <is>
          <t>Given the function f(x) = -2(x - 3)^2 + 8.</t>
        </is>
      </c>
      <c r="D15" s="5" t="inlineStr">
        <is>
          <t>Calculator Allowed. What is the maximum value of f(x)?</t>
        </is>
      </c>
      <c r="E15" s="5" t="inlineStr">
        <is>
          <t>A. Lựa chọn A
B. Lựa chọn B
C. Lựa chọn C
D. Lựa chọn D</t>
        </is>
      </c>
      <c r="F15" s="14" t="n"/>
      <c r="G15" s="7">
        <f>IF(ISBLANK(F15), "⏳ Chờ đáp án", IF(UPPER(TRIM(F15))="D", "✅ Đúng", "❌ Sai"))</f>
        <v/>
      </c>
      <c r="H15" s="14" t="n"/>
      <c r="I15" s="7">
        <f>IF(ISBLANK(H15), "", IF(UPPER(TRIM(H15))="D", "✅ Đúng", "❌ Sai"))</f>
        <v/>
      </c>
      <c r="J15" s="14" t="n"/>
      <c r="K15" s="7">
        <f>IF(ISBLANK(J15), "", IF(UPPER(TRIM(J15))="D",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P15" s="5">
        <f>IF(OR(G15="✅ Đúng", I15="✅ Đúng", K15="✅ Đúng"), "Parabola Vertex (h, k) with a &lt; 0 has maximum value = k = 8.", "🔒 Trả lời đúng để mở khóa Strategic Tip!")</f>
        <v/>
      </c>
    </row>
    <row r="16">
      <c r="A16" s="7" t="inlineStr">
        <is>
          <t>Q12</t>
        </is>
      </c>
      <c r="B16" s="5" t="inlineStr">
        <is>
          <t>Statistics (Effect of Adding Outlier on Mean &amp; Median)</t>
        </is>
      </c>
      <c r="C16" s="5" t="inlineStr">
        <is>
          <t>A frequency table summarizes ages of 50 coins (mean = 72.5, median = 70). Vivek adds a 51st coin aged 90 years.</t>
        </is>
      </c>
      <c r="D16" s="5" t="inlineStr">
        <is>
          <t>Calculator Allowed. Which statement correctly compares the mean and median ages of the original and new collections?</t>
        </is>
      </c>
      <c r="E16" s="5" t="inlineStr">
        <is>
          <t>A. Lựa chọn A
B. Lựa chọn B
C. Lựa chọn C
D. Lựa chọn D</t>
        </is>
      </c>
      <c r="F16" s="14" t="n"/>
      <c r="G16" s="7">
        <f>IF(ISBLANK(F16), "⏳ Chờ đáp án", IF(UPPER(TRIM(F16))="B", "✅ Đúng", "❌ Sai"))</f>
        <v/>
      </c>
      <c r="H16" s="14" t="n"/>
      <c r="I16" s="7">
        <f>IF(ISBLANK(H16), "", IF(UPPER(TRIM(H16))="B", "✅ Đúng", "❌ Sai"))</f>
        <v/>
      </c>
      <c r="J16" s="14" t="n"/>
      <c r="K16" s="7">
        <f>IF(ISBLANK(J16), "", IF(UPPER(TRIM(J16))="B",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P16" s="5">
        <f>IF(OR(G16="✅ Đúng", I16="✅ Đúng", K16="✅ Đúng"), "Adding a high value increases Mean; Median position remains in the same frequency bin.", "🔒 Trả lời đúng để mở khóa Strategic Tip!")</f>
        <v/>
      </c>
    </row>
    <row r="17">
      <c r="A17" s="7" t="inlineStr">
        <is>
          <t>Q13</t>
        </is>
      </c>
      <c r="B17" s="5" t="inlineStr">
        <is>
          <t>Non-linear Systems (Circle &amp; Line)</t>
        </is>
      </c>
      <c r="C17" s="5" t="inlineStr">
        <is>
          <t>System of equations: x^2 + y^2 = 64 and y = mx + b/2. Intersect at (-7, y) with y &lt; 0.</t>
        </is>
      </c>
      <c r="D17" s="5" t="inlineStr">
        <is>
          <t>Calculator Allowed. Which expression represents the value of b?</t>
        </is>
      </c>
      <c r="E17" s="5" t="inlineStr">
        <is>
          <t>A. Lựa chọn A
B. Lựa chọn B
C. Lựa chọn C
D. Lựa chọn D</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P17" s="5">
        <f>IF(OR(G17="✅ Đúng", I17="✅ Đúng", K17="✅ Đúng"), "Substitute (-7, -sqrt(15)) into line equation =&gt; -sqrt(15) = -7m + b/2 =&gt; b = 14m - 2*sqrt(15).", "🔒 Trả lời đúng để mở khóa Strategic Tip!")</f>
        <v/>
      </c>
    </row>
    <row r="18">
      <c r="A18" s="7" t="inlineStr">
        <is>
          <t>Q14</t>
        </is>
      </c>
      <c r="B18" s="5" t="inlineStr">
        <is>
          <t>Geometry (Similar Triangles)</t>
        </is>
      </c>
      <c r="C18" s="5" t="inlineStr">
        <is>
          <t>In triangle ABC, DE is parallel to AC, BD = AD, BE = 9, and AC = 8.</t>
        </is>
      </c>
      <c r="D18" s="5" t="inlineStr">
        <is>
          <t>Calculator Allowed. What is the length of BC?</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P18" s="5">
        <f>IF(OR(G18="✅ Đúng", I18="✅ Đúng", K18="✅ Đúng"), "Midpoint Segment Theorem: BC = 2 * BE = 18.", "🔒 Trả lời đúng để mở khóa Strategic Tip!")</f>
        <v/>
      </c>
    </row>
    <row r="19">
      <c r="A19" s="7" t="inlineStr">
        <is>
          <t>Q15</t>
        </is>
      </c>
      <c r="B19" s="5" t="inlineStr">
        <is>
          <t>Systems of Equations Evaluation</t>
        </is>
      </c>
      <c r="C19" s="5" t="inlineStr">
        <is>
          <t>System of equations: 2x + 3y = 19 and 2x - y = 3.</t>
        </is>
      </c>
      <c r="D19" s="5" t="inlineStr">
        <is>
          <t>Calculator Allowed. What is the value of x + y?</t>
        </is>
      </c>
      <c r="E19" s="5" t="inlineStr">
        <is>
          <t>A. Lựa chọn A
B. Lựa chọn B
C. Lựa chọn C
D. Lựa chọn D</t>
        </is>
      </c>
      <c r="F19" s="14" t="n"/>
      <c r="G19" s="7">
        <f>IF(ISBLANK(F19), "⏳ Chờ đáp án", IF(UPPER(TRIM(F19))="C", "✅ Đúng", "❌ Sai"))</f>
        <v/>
      </c>
      <c r="H19" s="14" t="n"/>
      <c r="I19" s="7">
        <f>IF(ISBLANK(H19), "", IF(UPPER(TRIM(H19))="C", "✅ Đúng", "❌ Sai"))</f>
        <v/>
      </c>
      <c r="J19" s="14" t="n"/>
      <c r="K19" s="7">
        <f>IF(ISBLANK(J19), "", IF(UPPER(TRIM(J19))="C",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P19" s="5">
        <f>IF(OR(G19="✅ Đúng", I19="✅ Đúng", K19="✅ Đúng"), "Solve system: y = 4, x = 3 =&gt; x + y = 7.", "🔒 Trả lời đúng để mở khóa Strategic Tip!")</f>
        <v/>
      </c>
    </row>
    <row r="20">
      <c r="A20" s="7" t="inlineStr">
        <is>
          <t>Q16</t>
        </is>
      </c>
      <c r="B20" s="5" t="inlineStr">
        <is>
          <t>Statistics (Sampling Bias)</t>
        </is>
      </c>
      <c r="C20" s="5" t="inlineStr">
        <is>
          <t>A study on melatonin levels sampled 125 gamers from 3 countries (Sweden 25, South Korea 49, US 51).</t>
        </is>
      </c>
      <c r="D20" s="5" t="inlineStr">
        <is>
          <t>Calculator Allowed. Which aspect prevents the results from being generalized to ALL gamers globally?</t>
        </is>
      </c>
      <c r="E20" s="5" t="inlineStr">
        <is>
          <t>A. Lựa chọn A
B. Lựa chọn B
C. Lựa chọn C
D. Lựa chọn D</t>
        </is>
      </c>
      <c r="F20" s="14" t="n"/>
      <c r="G20" s="7">
        <f>IF(ISBLANK(F20), "⏳ Chờ đáp án", IF(UPPER(TRIM(F20))="A", "✅ Đúng", "❌ Sai"))</f>
        <v/>
      </c>
      <c r="H20" s="14" t="n"/>
      <c r="I20" s="7">
        <f>IF(ISBLANK(H20), "", IF(UPPER(TRIM(H20))="A", "✅ Đúng", "❌ Sai"))</f>
        <v/>
      </c>
      <c r="J20" s="14" t="n"/>
      <c r="K20" s="7">
        <f>IF(ISBLANK(J20), "", IF(UPPER(TRIM(J20))="A",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P20" s="5">
        <f>IF(OR(G20="✅ Đúng", I20="✅ Đúng", K20="✅ Đúng"), "Generalizability requires random sampling from the target population.", "🔒 Trả lời đúng để mở khóa Strategic Tip!")</f>
        <v/>
      </c>
    </row>
    <row r="21" ht="15.75" customHeight="1" s="19">
      <c r="A21" s="7" t="inlineStr">
        <is>
          <t>Q17</t>
        </is>
      </c>
      <c r="B21" s="5" t="inlineStr">
        <is>
          <t>Trigonometry (Right Triangle Ratios)</t>
        </is>
      </c>
      <c r="C21" s="5" t="inlineStr">
        <is>
          <t>In right triangle ABC with right angle C = 90 deg, cos A = 5/13.</t>
        </is>
      </c>
      <c r="D21" s="5" t="inlineStr">
        <is>
          <t>Calculator Allowed. What is the value of tan A?</t>
        </is>
      </c>
      <c r="E21" s="5" t="inlineStr">
        <is>
          <t>A. Lựa chọn A
B. Lựa chọn B
C. Lựa chọn C
D. Lựa chọn D</t>
        </is>
      </c>
      <c r="F21" s="14" t="n"/>
      <c r="G21" s="7">
        <f>IF(ISBLANK(F21), "⏳ Chờ đáp án", IF(UPPER(TRIM(F21))="A", "✅ Đúng", "❌ Sai"))</f>
        <v/>
      </c>
      <c r="H21" s="14" t="n"/>
      <c r="I21" s="7">
        <f>IF(ISBLANK(H21), "", IF(UPPER(TRIM(H21))="A", "✅ Đúng", "❌ Sai"))</f>
        <v/>
      </c>
      <c r="J21" s="14" t="n"/>
      <c r="K21" s="7">
        <f>IF(ISBLANK(J21), "", IF(UPPER(TRIM(J21))="A",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c>
      <c r="P21" s="5">
        <f>IF(OR(G21="✅ Đúng", I21="✅ Đúng", K21="✅ Đúng"), "5-12-13 Right Triangle: cos A = 5/13 =&gt; sin A = 12/13 =&gt; tan A = 12/5.", "🔒 Trả lời đúng để mở khóa Strategic Tip!")</f>
        <v/>
      </c>
    </row>
    <row r="22" ht="15.75" customHeight="1" s="19">
      <c r="A22" s="7" t="inlineStr">
        <is>
          <t>Q18</t>
        </is>
      </c>
      <c r="B22" s="5" t="inlineStr">
        <is>
          <t>Percentages (Percent Increase)</t>
        </is>
      </c>
      <c r="C22" s="5" t="inlineStr">
        <is>
          <t>Guests used the pool for t hours in March and 3.41t hours in April.</t>
        </is>
      </c>
      <c r="D22" s="5" t="inlineStr">
        <is>
          <t>Calculator Allowed. What is the percent increase in pool usage from March to April?</t>
        </is>
      </c>
      <c r="E22" s="5" t="inlineStr">
        <is>
          <t>A. Lựa chọn A
B. Lựa chọn B
C. Lựa chọn C
D. Lựa chọn D</t>
        </is>
      </c>
      <c r="F22" s="14" t="n"/>
      <c r="G22" s="7">
        <f>IF(ISBLANK(F22), "⏳ Chờ đáp án", IF(UPPER(TRIM(F22))="C", "✅ Đúng", "❌ Sai"))</f>
        <v/>
      </c>
      <c r="H22" s="14" t="n"/>
      <c r="I22" s="7">
        <f>IF(ISBLANK(H22), "", IF(UPPER(TRIM(H22))="C", "✅ Đúng", "❌ Sai"))</f>
        <v/>
      </c>
      <c r="J22" s="14" t="n"/>
      <c r="K22" s="7">
        <f>IF(ISBLANK(J22), "", IF(UPPER(TRIM(J22))="C",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c>
      <c r="P22" s="5">
        <f>IF(OR(G22="✅ Đúng", I22="✅ Đúng", K22="✅ Đúng"), "Percent Increase = (3.41 - 1) * 100% = 241%.", "🔒 Trả lời đúng để mở khóa Strategic Tip!")</f>
        <v/>
      </c>
    </row>
    <row r="23" ht="15.75" customHeight="1" s="19">
      <c r="A23" s="7" t="inlineStr">
        <is>
          <t>Q19</t>
        </is>
      </c>
      <c r="B23" s="5" t="inlineStr">
        <is>
          <t>Algebraic Expansion &amp; Coefficients</t>
        </is>
      </c>
      <c r="C23" s="5" t="inlineStr">
        <is>
          <t>The expression [4(3x - 4)^2 + 6(3x - 2)^2] / 4 can be rewritten as (a/4)x^2 + (b/4)x + (c/4).</t>
        </is>
      </c>
      <c r="D23" s="5" t="inlineStr">
        <is>
          <t>Calculator Allowed. What is the value of a + b + c?</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c>
      <c r="P23" s="5">
        <f>IF(OR(G23="✅ Đúng", I23="✅ Đúng", K23="✅ Đúng"), "Evaluate at x = 1 to find sum of coefficients a + b + c.", "🔒 Trả lời đúng để mở khóa Strategic Tip!")</f>
        <v/>
      </c>
    </row>
    <row r="24" ht="15.75" customHeight="1" s="19">
      <c r="A24" s="7" t="inlineStr">
        <is>
          <t>Q20</t>
        </is>
      </c>
      <c r="B24" s="5" t="inlineStr">
        <is>
          <t>Consecutive Integers Inequality</t>
        </is>
      </c>
      <c r="C24" s="5" t="inlineStr">
        <is>
          <t>The sum of three consecutive even integers is less than 123. The least integer is x.</t>
        </is>
      </c>
      <c r="D24" s="5" t="inlineStr">
        <is>
          <t>Calculator Allowed. What is the greatest possible value of x?</t>
        </is>
      </c>
      <c r="E24" s="5" t="inlineStr">
        <is>
          <t>A. Lựa chọn A
B. Lựa chọn B
C. Lựa chọn C
D. Lựa chọn D</t>
        </is>
      </c>
      <c r="F24" s="14" t="n"/>
      <c r="G24" s="7">
        <f>IF(ISBLANK(F24), "⏳ Chờ đáp án", IF(UPPER(TRIM(F24))="D", "✅ Đúng", "❌ Sai"))</f>
        <v/>
      </c>
      <c r="H24" s="14" t="n"/>
      <c r="I24" s="7">
        <f>IF(ISBLANK(H24), "", IF(UPPER(TRIM(H24))="D", "✅ Đúng", "❌ Sai"))</f>
        <v/>
      </c>
      <c r="J24" s="14" t="n"/>
      <c r="K24" s="7">
        <f>IF(ISBLANK(J24), "", IF(UPPER(TRIM(J24))="D",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P24" s="5">
        <f>IF(OR(G24="✅ Đúng", I24="✅ Đúng", K24="✅ Đúng"), "3x + 6 &lt; 123 =&gt; x &lt; 39. Greatest even integer is 38.", "🔒 Trả lời đúng để mở khóa Strategic Tip!")</f>
        <v/>
      </c>
    </row>
    <row r="25" ht="15.75" customHeight="1" s="19">
      <c r="A25" s="7" t="inlineStr">
        <is>
          <t>Q21</t>
        </is>
      </c>
      <c r="B25" s="5" t="inlineStr">
        <is>
          <t>Similar 3D Solids (Area &amp; Volume Ratios)</t>
        </is>
      </c>
      <c r="C25" s="5" t="inlineStr">
        <is>
          <t>Prism X is similar to Prism Y. Surface area X = 52 cm^2, Surface area Y = 832 cm^2. Volume X = 10.5 cm^3.</t>
        </is>
      </c>
      <c r="D25" s="5" t="inlineStr">
        <is>
          <t>Calculator Allowed. What is the volume, in cm^3, of right rectangular prism Y?</t>
        </is>
      </c>
      <c r="E25" s="5" t="inlineStr">
        <is>
          <t>Student-Produced Response (Grid-in)</t>
        </is>
      </c>
      <c r="F25" s="14" t="n"/>
      <c r="G25" s="7">
        <f>IF(ISBLANK(F25), "⏳ Chờ đáp án", IF(UPPER(TRIM(F25))="672", "✅ Đúng", "❌ Sai"))</f>
        <v/>
      </c>
      <c r="H25" s="14" t="n"/>
      <c r="I25" s="7">
        <f>IF(ISBLANK(H25), "", IF(UPPER(TRIM(H25))="672", "✅ Đúng", "❌ Sai"))</f>
        <v/>
      </c>
      <c r="J25" s="14" t="n"/>
      <c r="K25" s="7">
        <f>IF(ISBLANK(J25), "", IF(UPPER(TRIM(J25))="672",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P25" s="5">
        <f>IF(OR(G25="✅ Đúng", I25="✅ Đúng", K25="✅ Đúng"), "Area ratio k^2 = 16 =&gt; k = 4 =&gt; Volume ratio k^3 = 64 =&gt; Vol Y = 10.5 * 64 = 672.", "🔒 Trả lời đúng để mở khóa Strategic Tip!")</f>
        <v/>
      </c>
    </row>
    <row r="26" ht="15.75" customHeight="1" s="19">
      <c r="A26" s="7" t="inlineStr">
        <is>
          <t>Q22</t>
        </is>
      </c>
      <c r="B26" s="5" t="inlineStr">
        <is>
          <t>Quadratic Equation (Sum of Roots)</t>
        </is>
      </c>
      <c r="C26" s="5" t="inlineStr">
        <is>
          <t>Equation: 18(w - a)(w + 5) = 6(w + 5). The sum of solutions is 37/3.</t>
        </is>
      </c>
      <c r="D26" s="5" t="inlineStr">
        <is>
          <t>Calculator Allowed. What is the value of a?</t>
        </is>
      </c>
      <c r="E26" s="5" t="inlineStr">
        <is>
          <t>Student-Produced Response (Grid-in)</t>
        </is>
      </c>
      <c r="F26" s="14" t="n"/>
      <c r="G26" s="7">
        <f>IF(ISBLANK(F26), "⏳ Chờ đáp án", IF(UPPER(TRIM(F26))="17", "✅ Đúng", "❌ Sai"))</f>
        <v/>
      </c>
      <c r="H26" s="14" t="n"/>
      <c r="I26" s="7">
        <f>IF(ISBLANK(H26), "", IF(UPPER(TRIM(H26))="17", "✅ Đúng", "❌ Sai"))</f>
        <v/>
      </c>
      <c r="J26" s="14" t="n"/>
      <c r="K26" s="7">
        <f>IF(ISBLANK(J26), "", IF(UPPER(TRIM(J26))="17",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c>
      <c r="P26" s="5">
        <f>IF(OR(G26="✅ Đúng", I26="✅ Đúng", K26="✅ Đúng"), "Roots are w1 = -5 and w2 = a + 1/3 =&gt; -5 + a + 1/3 = 37/3 =&gt; a = 17.",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2"/>
  <sheetViews>
    <sheetView showGridLines="0" workbookViewId="0">
      <pane xSplit="6" ySplit="4" topLeftCell="G5" activePane="bottomRight" state="frozen"/>
      <selection pane="topRight" activeCell="G1" sqref="G1"/>
      <selection pane="bottomLeft" activeCell="A5" sqref="A5"/>
      <selection pane="bottomRight" activeCell="G5" sqref="G5"/>
    </sheetView>
  </sheetViews>
  <sheetFormatPr baseColWidth="8" defaultColWidth="14.43" defaultRowHeight="15" customHeight="1"/>
  <cols>
    <col width="10" customWidth="1" style="19" min="1" max="1"/>
    <col width="25" customWidth="1" style="19" min="2" max="3"/>
    <col width="45" customWidth="1" style="19" min="4" max="4"/>
    <col width="35" customWidth="1" style="19" min="5" max="6"/>
    <col width="12" customWidth="1" style="19" min="7" max="7"/>
    <col width="14" customWidth="1" style="19" min="8" max="8"/>
    <col width="12" customWidth="1" style="19" min="9" max="9"/>
    <col width="14" customWidth="1" style="19" min="10" max="10"/>
    <col width="12" customWidth="1" style="19" min="11" max="11"/>
    <col width="14" customWidth="1" style="19" min="12" max="12"/>
    <col width="15" customWidth="1" style="19" min="13" max="13"/>
    <col width="22" customWidth="1" style="19" min="14" max="14"/>
    <col width="15" customWidth="1" style="19" min="15" max="15"/>
    <col width="45" customWidth="1" style="19" min="16" max="16"/>
    <col width="35" customWidth="1" style="19" min="17" max="17"/>
    <col width="8.710000000000001" customWidth="1" style="19" min="18" max="26"/>
  </cols>
  <sheetData>
    <row r="1">
      <c r="A1" s="1" t="inlineStr">
        <is>
          <t>MASTER QUESTION BANK: ALL 98 QUESTIONS (OCTOBER 2026 TEST)</t>
        </is>
      </c>
    </row>
    <row r="2">
      <c r="A2" s="2" t="inlineStr">
        <is>
          <t>Tập hợp toàn bộ 98 câu hỏi liên tục từ ID M1 đến M98 của cả 4 Modules để thi thử tổng hợp</t>
        </is>
      </c>
    </row>
    <row r="3"/>
    <row r="4" ht="27.75" customHeight="1" s="19">
      <c r="A4" s="3" t="inlineStr">
        <is>
          <t>Master ID</t>
        </is>
      </c>
      <c r="B4" s="3" t="inlineStr">
        <is>
          <t>Module Nguồn</t>
        </is>
      </c>
      <c r="C4" s="3" t="inlineStr">
        <is>
          <t>Topic / Skill Focus</t>
        </is>
      </c>
      <c r="D4" s="3" t="inlineStr">
        <is>
          <t>Passage &amp; Context</t>
        </is>
      </c>
      <c r="E4" s="3" t="inlineStr">
        <is>
          <t>Question Prompt / Calculator</t>
        </is>
      </c>
      <c r="F4" s="3" t="inlineStr">
        <is>
          <t>Options / Choices (No Answer)</t>
        </is>
      </c>
      <c r="G4" s="3" t="inlineStr">
        <is>
          <t>Lần thử 1</t>
        </is>
      </c>
      <c r="H4" s="3" t="inlineStr">
        <is>
          <t>Kết quả L1</t>
        </is>
      </c>
      <c r="I4" s="3" t="inlineStr">
        <is>
          <t>Lần thử 2</t>
        </is>
      </c>
      <c r="J4" s="3" t="inlineStr">
        <is>
          <t>Kết quả L2</t>
        </is>
      </c>
      <c r="K4" s="3" t="inlineStr">
        <is>
          <t>Lần thử 3</t>
        </is>
      </c>
      <c r="L4" s="3" t="inlineStr">
        <is>
          <t>Kết quả L3</t>
        </is>
      </c>
      <c r="M4" s="3" t="inlineStr">
        <is>
          <t>Tổng số cột Sai</t>
        </is>
      </c>
      <c r="N4" s="3" t="inlineStr">
        <is>
          <t>Trạng thái Hoàn thành</t>
        </is>
      </c>
      <c r="O4" s="3" t="inlineStr">
        <is>
          <t>Hiệu suất (%)</t>
        </is>
      </c>
      <c r="P4" s="3" t="inlineStr">
        <is>
          <t>Hint / Gợi ý Đa tầng (Không đáp án)</t>
        </is>
      </c>
      <c r="Q4" s="3" t="inlineStr">
        <is>
          <t>Strategic Tip / Formula</t>
        </is>
      </c>
    </row>
    <row r="5">
      <c r="A5" s="7" t="inlineStr">
        <is>
          <t>M1</t>
        </is>
      </c>
      <c r="B5" s="7" t="inlineStr">
        <is>
          <t>Reading &amp; Writing Module 1</t>
        </is>
      </c>
      <c r="C5" s="5" t="inlineStr">
        <is>
          <t>Vocabulary in Context (Precision)</t>
        </is>
      </c>
      <c r="D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E5" s="5" t="inlineStr">
        <is>
          <t>Which choice completes the text with the most logical and precise word or phrase?</t>
        </is>
      </c>
      <c r="F5" s="5" t="inlineStr">
        <is>
          <t>A. Lựa chọn A
B. Lựa chọn B
C. Lựa chọn C
D. Lựa chọn D</t>
        </is>
      </c>
      <c r="G5" s="14" t="n"/>
      <c r="H5" s="7">
        <f>IF(ISBLANK(G5), "⏳ Chờ đáp án", IF(UPPER(TRIM(G5))="B", "✅ Đúng", "❌ Sai"))</f>
        <v/>
      </c>
      <c r="I5" s="14" t="n"/>
      <c r="J5" s="7">
        <f>IF(ISBLANK(I5), "", IF(UPPER(TRIM(I5))="B", "✅ Đúng", "❌ Sai"))</f>
        <v/>
      </c>
      <c r="K5" s="14" t="n"/>
      <c r="L5" s="7">
        <f>IF(ISBLANK(K5), "", IF(UPPER(TRIM(K5))="B", "✅ Đúng", "❌ Sai"))</f>
        <v/>
      </c>
      <c r="M5" s="7">
        <f>COUNTIF(H5, "❌ Sai") + COUNTIF(J5, "❌ Sai") + COUNTIF(L5, "❌ Sai")</f>
        <v/>
      </c>
      <c r="N5" s="7">
        <f>IF(ISBLANK(G5), "⏳ Chờ làm", IF(H5="✅ Đúng", "✅ Đúng ngay L1", IF(J5="✅ Đúng", "✅ Đúng ở L2", IF(L5="✅ Đúng", "✅ Đúng ở L3", "❌ Chưa đúng sau 3 lần"))))</f>
        <v/>
      </c>
      <c r="O5" s="13">
        <f>IF(ISBLANK(F5), "💡 Nhập đáp án vào Lần thử 1", IF(G5="✅ Đúng", "✨ Xuất sắc! Bạn đã làm đúng.", "💡 Gợi ý: " &amp; "Xác định thái độ của tác giả và mối quan hệ logic trong câu; chú ý các từ ngữ miêu tả mục đích chính xác của hành động."))</f>
        <v/>
      </c>
      <c r="P5" s="5">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Q5" s="5">
        <f>IF(OR(H5="✅ Đúng", J5="✅ Đúng", L5="✅ Đúng"), "Isolating = identifying/singling out the specific cause of a problem.", "🔒 Trả lời đúng để mở khóa Strategic Tip!")</f>
        <v/>
      </c>
    </row>
    <row r="6">
      <c r="A6" s="7" t="inlineStr">
        <is>
          <t>M2</t>
        </is>
      </c>
      <c r="B6" s="7" t="inlineStr">
        <is>
          <t>Reading &amp; Writing Module 1</t>
        </is>
      </c>
      <c r="C6" s="5" t="inlineStr">
        <is>
          <t>Vocabulary in Context (Biological Processes)</t>
        </is>
      </c>
      <c r="D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E6" s="5" t="inlineStr">
        <is>
          <t>Which choice completes the text with the most logical and precise word or phrase?</t>
        </is>
      </c>
      <c r="F6" s="5" t="inlineStr">
        <is>
          <t>A. Lựa chọn A
B. Lựa chọn B
C. Lựa chọn C
D. Lựa chọn D</t>
        </is>
      </c>
      <c r="G6" s="14" t="n"/>
      <c r="H6" s="7">
        <f>IF(ISBLANK(G6), "⏳ Chờ đáp án", IF(UPPER(TRIM(G6))="D", "✅ Đúng", "❌ Sai"))</f>
        <v/>
      </c>
      <c r="I6" s="14" t="n"/>
      <c r="J6" s="7">
        <f>IF(ISBLANK(I6), "", IF(UPPER(TRIM(I6))="D", "✅ Đúng", "❌ Sai"))</f>
        <v/>
      </c>
      <c r="K6" s="14" t="n"/>
      <c r="L6" s="7">
        <f>IF(ISBLANK(K6), "", IF(UPPER(TRIM(K6))="D", "✅ Đúng", "❌ Sai"))</f>
        <v/>
      </c>
      <c r="M6" s="7">
        <f>COUNTIF(H6, "❌ Sai") + COUNTIF(J6, "❌ Sai") + COUNTIF(L6, "❌ Sai")</f>
        <v/>
      </c>
      <c r="N6" s="7">
        <f>IF(ISBLANK(G6), "⏳ Chờ làm", IF(H6="✅ Đúng", "✅ Đúng ngay L1", IF(J6="✅ Đúng", "✅ Đúng ở L2", IF(L6="✅ Đúng", "✅ Đúng ở L3", "❌ Chưa đúng sau 3 lần"))))</f>
        <v/>
      </c>
      <c r="O6" s="13">
        <f>IF(ISBLANK(F6), "💡 Nhập đáp án vào Lần thử 1", IF(G6="✅ Đúng", "✨ Xuất sắc! Bạn đã làm đúng.", "💡 Gợi ý: " &amp; "Phân tích ngữ cảnh sinh học trong đoạn văn và xác định động từ thể hiện đúng chức năng của cơ chế được mô tả."))</f>
        <v/>
      </c>
      <c r="P6" s="5">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Q6" s="5">
        <f>IF(OR(H6="✅ Đúng", J6="✅ Đúng", L6="✅ Đúng"), "Regulate = control or maintain at a steady level.", "🔒 Trả lời đúng để mở khóa Strategic Tip!")</f>
        <v/>
      </c>
    </row>
    <row r="7">
      <c r="A7" s="7" t="inlineStr">
        <is>
          <t>M3</t>
        </is>
      </c>
      <c r="B7" s="7" t="inlineStr">
        <is>
          <t>Reading &amp; Writing Module 1</t>
        </is>
      </c>
      <c r="C7" s="5" t="inlineStr">
        <is>
          <t>Vocabulary in Context (Research Approaches)</t>
        </is>
      </c>
      <c r="D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E7" s="5" t="inlineStr">
        <is>
          <t>Which choice completes the text with the most logical and precise word or phrase?</t>
        </is>
      </c>
      <c r="F7" s="5" t="inlineStr">
        <is>
          <t>A. Lựa chọn A
B. Lựa chọn B
C. Lựa chọn C
D. Lựa chọn D</t>
        </is>
      </c>
      <c r="G7" s="14" t="n"/>
      <c r="H7" s="7">
        <f>IF(ISBLANK(G7), "⏳ Chờ đáp án", IF(UPPER(TRIM(G7))="B", "✅ Đúng", "❌ Sai"))</f>
        <v/>
      </c>
      <c r="I7" s="14" t="n"/>
      <c r="J7" s="7">
        <f>IF(ISBLANK(I7), "", IF(UPPER(TRIM(I7))="B", "✅ Đúng", "❌ Sai"))</f>
        <v/>
      </c>
      <c r="K7" s="14" t="n"/>
      <c r="L7" s="7">
        <f>IF(ISBLANK(K7), "", IF(UPPER(TRIM(K7))="B", "✅ Đúng", "❌ Sai"))</f>
        <v/>
      </c>
      <c r="M7" s="7">
        <f>COUNTIF(H7, "❌ Sai") + COUNTIF(J7, "❌ Sai") + COUNTIF(L7, "❌ Sai")</f>
        <v/>
      </c>
      <c r="N7" s="7">
        <f>IF(ISBLANK(G7), "⏳ Chờ làm", IF(H7="✅ Đúng", "✅ Đúng ngay L1", IF(J7="✅ Đúng", "✅ Đúng ở L2", IF(L7="✅ Đúng", "✅ Đúng ở L3", "❌ Chưa đúng sau 3 lần"))))</f>
        <v/>
      </c>
      <c r="O7" s="13">
        <f>IF(ISBLANK(F7), "💡 Nhập đáp án vào Lần thử 1", IF(G7="✅ Đúng", "✨ Xuất sắc! Bạn đã làm đúng.", "💡 Gợi ý: " &amp; "Chú ý từ nối đối lập hoặc tương phản trong câu để xác định hướng nghiên cứu trái ngược với phương pháp truyền thống."))</f>
        <v/>
      </c>
      <c r="P7" s="5">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Q7" s="5">
        <f>IF(OR(H7="✅ Đúng", J7="✅ Đúng", L7="✅ Đúng"), "Innovative = introducing new, original, or unusual methods.", "🔒 Trả lời đúng để mở khóa Strategic Tip!")</f>
        <v/>
      </c>
    </row>
    <row r="8">
      <c r="A8" s="7" t="inlineStr">
        <is>
          <t>M4</t>
        </is>
      </c>
      <c r="B8" s="7" t="inlineStr">
        <is>
          <t>Reading &amp; Writing Module 1</t>
        </is>
      </c>
      <c r="C8" s="5" t="inlineStr">
        <is>
          <t>Vocabulary in Context (Sufficiency)</t>
        </is>
      </c>
      <c r="D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E8" s="5" t="inlineStr">
        <is>
          <t>Which choice completes the text with the most logical and precise word or phrase?</t>
        </is>
      </c>
      <c r="F8" s="5" t="inlineStr">
        <is>
          <t>A. Lựa chọn A
B. Lựa chọn B
C. Lựa chọn C
D. Lựa chọn D</t>
        </is>
      </c>
      <c r="G8" s="14" t="n"/>
      <c r="H8" s="7">
        <f>IF(ISBLANK(G8), "⏳ Chờ đáp án", IF(UPPER(TRIM(G8))="C", "✅ Đúng", "❌ Sai"))</f>
        <v/>
      </c>
      <c r="I8" s="14" t="n"/>
      <c r="J8" s="7">
        <f>IF(ISBLANK(I8), "", IF(UPPER(TRIM(I8))="C", "✅ Đúng", "❌ Sai"))</f>
        <v/>
      </c>
      <c r="K8" s="14" t="n"/>
      <c r="L8" s="7">
        <f>IF(ISBLANK(K8), "", IF(UPPER(TRIM(K8))="C", "✅ Đúng", "❌ Sai"))</f>
        <v/>
      </c>
      <c r="M8" s="7">
        <f>COUNTIF(H8, "❌ Sai") + COUNTIF(J8, "❌ Sai") + COUNTIF(L8, "❌ Sai")</f>
        <v/>
      </c>
      <c r="N8" s="7">
        <f>IF(ISBLANK(G8), "⏳ Chờ làm", IF(H8="✅ Đúng", "✅ Đúng ngay L1", IF(J8="✅ Đúng", "✅ Đúng ở L2", IF(L8="✅ Đúng", "✅ Đúng ở L3", "❌ Chưa đúng sau 3 lần"))))</f>
        <v/>
      </c>
      <c r="O8" s="13">
        <f>IF(ISBLANK(F8), "💡 Nhập đáp án vào Lần thử 1", IF(G8="✅ Đúng", "✨ Xuất sắc! Bạn đã làm đúng.", "💡 Gợi ý: " &amp; "Đọc kỹ câu văn để xác định mức độ hoặc giới hạn của việc đào tạo được đề cập trước khi đưa ra lựa chọn."))</f>
        <v/>
      </c>
      <c r="P8" s="5">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Q8" s="5">
        <f>IF(OR(H8="✅ Đúng", J8="✅ Đúng", L8="✅ Đúng"), "Sufficient = adequate or enough for a specific requirement.", "🔒 Trả lời đúng để mở khóa Strategic Tip!")</f>
        <v/>
      </c>
    </row>
    <row r="9">
      <c r="A9" s="7" t="inlineStr">
        <is>
          <t>M5</t>
        </is>
      </c>
      <c r="B9" s="7" t="inlineStr">
        <is>
          <t>Reading &amp; Writing Module 1</t>
        </is>
      </c>
      <c r="C9" s="5" t="inlineStr">
        <is>
          <t>Text Structure &amp; Overall Purpose</t>
        </is>
      </c>
      <c r="D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E9" s="5" t="inlineStr">
        <is>
          <t>Which choice best describes the overall structure of the text?</t>
        </is>
      </c>
      <c r="F9" s="5" t="inlineStr">
        <is>
          <t>A. Lựa chọn A
B. Lựa chọn B
C. Lựa chọn C
D. Lựa chọn D</t>
        </is>
      </c>
      <c r="G9" s="14" t="n"/>
      <c r="H9" s="7">
        <f>IF(ISBLANK(G9), "⏳ Chờ đáp án", IF(UPPER(TRIM(G9))="B", "✅ Đúng", "❌ Sai"))</f>
        <v/>
      </c>
      <c r="I9" s="14" t="n"/>
      <c r="J9" s="7">
        <f>IF(ISBLANK(I9), "", IF(UPPER(TRIM(I9))="B", "✅ Đúng", "❌ Sai"))</f>
        <v/>
      </c>
      <c r="K9" s="14" t="n"/>
      <c r="L9" s="7">
        <f>IF(ISBLANK(K9), "", IF(UPPER(TRIM(K9))="B", "✅ Đúng", "❌ Sai"))</f>
        <v/>
      </c>
      <c r="M9" s="7">
        <f>COUNTIF(H9, "❌ Sai") + COUNTIF(J9, "❌ Sai") + COUNTIF(L9, "❌ Sai")</f>
        <v/>
      </c>
      <c r="N9" s="7">
        <f>IF(ISBLANK(G9), "⏳ Chờ làm", IF(H9="✅ Đúng", "✅ Đúng ngay L1", IF(J9="✅ Đúng", "✅ Đúng ở L2", IF(L9="✅ Đúng", "✅ Đúng ở L3", "❌ Chưa đúng sau 3 lần"))))</f>
        <v/>
      </c>
      <c r="O9" s="13">
        <f>IF(ISBLANK(F9), "💡 Nhập đáp án vào Lần thử 1", IF(G9="✅ Đúng", "✨ Xuất sắc! Bạn đã làm đúng.", "💡 Gợi ý: " &amp; "Xác định câu hỏi mở đầu và phân tích cách tác giả phát triển các quan điểm khác nhau qua từng phần của bài đọc."))</f>
        <v/>
      </c>
      <c r="P9" s="5">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Q9" s="5">
        <f>IF(OR(H9="✅ Đúng", J9="✅ Đúng", L9="✅ Đúng"), "Mô hình cấu trúc: Question -&gt; Multiple Explanations/Answers.", "🔒 Trả lời đúng để mở khóa Strategic Tip!")</f>
        <v/>
      </c>
    </row>
    <row r="10">
      <c r="A10" s="7" t="inlineStr">
        <is>
          <t>M6</t>
        </is>
      </c>
      <c r="B10" s="7" t="inlineStr">
        <is>
          <t>Reading &amp; Writing Module 1</t>
        </is>
      </c>
      <c r="C10" s="5" t="inlineStr">
        <is>
          <t>Main Purpose (Literary Narrative)</t>
        </is>
      </c>
      <c r="D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E10" s="5" t="inlineStr">
        <is>
          <t>Which choice best states the main purpose of the text?</t>
        </is>
      </c>
      <c r="F10" s="5" t="inlineStr">
        <is>
          <t>A. Lựa chọn A
B. Lựa chọn B
C. Lựa chọn C
D. Lựa chọn D</t>
        </is>
      </c>
      <c r="G10" s="14" t="n"/>
      <c r="H10" s="7">
        <f>IF(ISBLANK(G10), "⏳ Chờ đáp án", IF(UPPER(TRIM(G10))="D", "✅ Đúng", "❌ Sai"))</f>
        <v/>
      </c>
      <c r="I10" s="14" t="n"/>
      <c r="J10" s="7">
        <f>IF(ISBLANK(I10), "", IF(UPPER(TRIM(I10))="D", "✅ Đúng", "❌ Sai"))</f>
        <v/>
      </c>
      <c r="K10" s="14" t="n"/>
      <c r="L10" s="7">
        <f>IF(ISBLANK(K10), "", IF(UPPER(TRIM(K10))="D", "✅ Đúng", "❌ Sai"))</f>
        <v/>
      </c>
      <c r="M10" s="7">
        <f>COUNTIF(H10, "❌ Sai") + COUNTIF(J10, "❌ Sai") + COUNTIF(L10, "❌ Sai")</f>
        <v/>
      </c>
      <c r="N10" s="7">
        <f>IF(ISBLANK(G10), "⏳ Chờ làm", IF(H10="✅ Đúng", "✅ Đúng ngay L1", IF(J10="✅ Đúng", "✅ Đúng ở L2", IF(L10="✅ Đúng", "✅ Đúng ở L3", "❌ Chưa đúng sau 3 lần"))))</f>
        <v/>
      </c>
      <c r="O10" s="13">
        <f>IF(ISBLANK(F10), "💡 Nhập đáp án vào Lần thử 1", IF(G10="✅ Đúng", "✨ Xuất sắc! Bạn đã làm đúng.", "💡 Gợi ý: " &amp; "Tập trung vào các chi tiết miêu tả cảm xúc và hành vi của nhân vật để rút ra chủ đề chính của đoạn văn."))</f>
        <v/>
      </c>
      <c r="P10" s="5">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Q10" s="5">
        <f>IF(OR(H10="✅ Đúng", J10="✅ Đúng", L10="✅ Đúng"), "Văn xuôi hư cấu: Biểu hiện thể chất phản ánh trạng thái tâm lý nhân vật.", "🔒 Trả lời đúng để mở khóa Strategic Tip!")</f>
        <v/>
      </c>
    </row>
    <row r="11">
      <c r="A11" s="7" t="inlineStr">
        <is>
          <t>M7</t>
        </is>
      </c>
      <c r="B11" s="7" t="inlineStr">
        <is>
          <t>Reading &amp; Writing Module 1</t>
        </is>
      </c>
      <c r="C11" s="5" t="inlineStr">
        <is>
          <t>Main Purpose (Informational Text)</t>
        </is>
      </c>
      <c r="D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E11" s="5" t="inlineStr">
        <is>
          <t>Which choice best describes the main purpose of the text?</t>
        </is>
      </c>
      <c r="F11" s="5" t="inlineStr">
        <is>
          <t>A. Lựa chọn A
B. Lựa chọn B
C. Lựa chọn C
D. Lựa chọn D</t>
        </is>
      </c>
      <c r="G11" s="14" t="n"/>
      <c r="H11" s="7">
        <f>IF(ISBLANK(G11), "⏳ Chờ đáp án", IF(UPPER(TRIM(G11))="D", "✅ Đúng", "❌ Sai"))</f>
        <v/>
      </c>
      <c r="I11" s="14" t="n"/>
      <c r="J11" s="7">
        <f>IF(ISBLANK(I11), "", IF(UPPER(TRIM(I11))="D", "✅ Đúng", "❌ Sai"))</f>
        <v/>
      </c>
      <c r="K11" s="14" t="n"/>
      <c r="L11" s="7">
        <f>IF(ISBLANK(K11), "", IF(UPPER(TRIM(K11))="D", "✅ Đúng", "❌ Sai"))</f>
        <v/>
      </c>
      <c r="M11" s="7">
        <f>COUNTIF(H11, "❌ Sai") + COUNTIF(J11, "❌ Sai") + COUNTIF(L11, "❌ Sai")</f>
        <v/>
      </c>
      <c r="N11" s="7">
        <f>IF(ISBLANK(G11), "⏳ Chờ làm", IF(H11="✅ Đúng", "✅ Đúng ngay L1", IF(J11="✅ Đúng", "✅ Đúng ở L2", IF(L11="✅ Đúng", "✅ Đúng ở L3", "❌ Chưa đúng sau 3 lần"))))</f>
        <v/>
      </c>
      <c r="O11" s="13">
        <f>IF(ISBLANK(F11), "💡 Nhập đáp án vào Lần thử 1", IF(G11="✅ Đúng", "✨ Xuất sắc! Bạn đã làm đúng.", "💡 Gợi ý: " &amp; "So sánh câu mở đầu và câu kết thúc của bài đọc để tổng hợp mục đích chung mà tác giả muốn truyền tải."))</f>
        <v/>
      </c>
      <c r="P11" s="5">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Q11" s="5">
        <f>IF(OR(H11="✅ Đúng", J11="✅ Đúng", L11="✅ Đúng"), "Main Purpose = Topic (Forestry Careers) + So What? (Integrate science and practical work).", "🔒 Trả lời đúng để mở khóa Strategic Tip!")</f>
        <v/>
      </c>
    </row>
    <row r="12">
      <c r="A12" s="7" t="inlineStr">
        <is>
          <t>M8</t>
        </is>
      </c>
      <c r="B12" s="7" t="inlineStr">
        <is>
          <t>Reading &amp; Writing Module 1</t>
        </is>
      </c>
      <c r="C12" s="5" t="inlineStr">
        <is>
          <t>Detail &amp; Literal Comprehension</t>
        </is>
      </c>
      <c r="D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E12" s="5" t="inlineStr">
        <is>
          <t>According to the text, how can the color olo be seen?</t>
        </is>
      </c>
      <c r="F12" s="5" t="inlineStr">
        <is>
          <t>A. Lựa chọn A
B. Lựa chọn B
C. Lựa chọn C
D. Lựa chọn D</t>
        </is>
      </c>
      <c r="G12" s="14" t="n"/>
      <c r="H12" s="7">
        <f>IF(ISBLANK(G12), "⏳ Chờ đáp án", IF(UPPER(TRIM(G12))="A", "✅ Đúng", "❌ Sai"))</f>
        <v/>
      </c>
      <c r="I12" s="14" t="n"/>
      <c r="J12" s="7">
        <f>IF(ISBLANK(I12), "", IF(UPPER(TRIM(I12))="A", "✅ Đúng", "❌ Sai"))</f>
        <v/>
      </c>
      <c r="K12" s="14" t="n"/>
      <c r="L12" s="7">
        <f>IF(ISBLANK(K12), "", IF(UPPER(TRIM(K12))="A", "✅ Đúng", "❌ Sai"))</f>
        <v/>
      </c>
      <c r="M12" s="7">
        <f>COUNTIF(H12, "❌ Sai") + COUNTIF(J12, "❌ Sai") + COUNTIF(L12, "❌ Sai")</f>
        <v/>
      </c>
      <c r="N12" s="7">
        <f>IF(ISBLANK(G12), "⏳ Chờ làm", IF(H12="✅ Đúng", "✅ Đúng ngay L1", IF(J12="✅ Đúng", "✅ Đúng ở L2", IF(L12="✅ Đúng", "✅ Đúng ở L3", "❌ Chưa đúng sau 3 lần"))))</f>
        <v/>
      </c>
      <c r="O12" s="13">
        <f>IF(ISBLANK(F12), "💡 Nhập đáp án vào Lần thử 1", IF(G12="✅ Đúng", "✨ Xuất sắc! Bạn đã làm đúng.", "💡 Gợi ý: " &amp; "Tìm vị trí từ khóa trong bài đọc và đối chiếu chính xác thông tin được phát biểu trực tiếp."))</f>
        <v/>
      </c>
      <c r="P12" s="5">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Q12" s="5">
        <f>IF(OR(H12="✅ Đúng", J12="✅ Đúng", L12="✅ Đúng"), "Literal Comprehension: Paraphrase đúng nguyên văn bài đọc, không suy diễn.", "🔒 Trả lời đúng để mở khóa Strategic Tip!")</f>
        <v/>
      </c>
    </row>
    <row r="13">
      <c r="A13" s="7" t="inlineStr">
        <is>
          <t>M9</t>
        </is>
      </c>
      <c r="B13" s="7" t="inlineStr">
        <is>
          <t>Reading &amp; Writing Module 1</t>
        </is>
      </c>
      <c r="C13" s="5" t="inlineStr">
        <is>
          <t>Quantitative Evidence (Graph)</t>
        </is>
      </c>
      <c r="D13" s="5" t="inlineStr">
        <is>
          <t>A student is collecting data about countries with volcanoes that have been active in the time since 1800 and in the time since 1960. The student records that Ethiopia has ______</t>
        </is>
      </c>
      <c r="E13" s="5" t="inlineStr">
        <is>
          <t>Which choice most effectively uses data from the graph to complete the statement?</t>
        </is>
      </c>
      <c r="F13" s="5" t="inlineStr">
        <is>
          <t>A. Lựa chọn A
B. Lựa chọn B
C. Lựa chọn C
D. Lựa chọn D</t>
        </is>
      </c>
      <c r="G13" s="14" t="n"/>
      <c r="H13" s="7">
        <f>IF(ISBLANK(G13), "⏳ Chờ đáp án", IF(UPPER(TRIM(G13))="C", "✅ Đúng", "❌ Sai"))</f>
        <v/>
      </c>
      <c r="I13" s="14" t="n"/>
      <c r="J13" s="7">
        <f>IF(ISBLANK(I13), "", IF(UPPER(TRIM(I13))="C", "✅ Đúng", "❌ Sai"))</f>
        <v/>
      </c>
      <c r="K13" s="14" t="n"/>
      <c r="L13" s="7">
        <f>IF(ISBLANK(K13), "", IF(UPPER(TRIM(K13))="C", "✅ Đúng", "❌ Sai"))</f>
        <v/>
      </c>
      <c r="M13" s="7">
        <f>COUNTIF(H13, "❌ Sai") + COUNTIF(J13, "❌ Sai") + COUNTIF(L13, "❌ Sai")</f>
        <v/>
      </c>
      <c r="N13" s="7">
        <f>IF(ISBLANK(G13), "⏳ Chờ làm", IF(H13="✅ Đúng", "✅ Đúng ngay L1", IF(J13="✅ Đúng", "✅ Đúng ở L2", IF(L13="✅ Đúng", "✅ Đúng ở L3", "❌ Chưa đúng sau 3 lần"))))</f>
        <v/>
      </c>
      <c r="O13" s="13">
        <f>IF(ISBLANK(F13), "💡 Nhập đáp án vào Lần thử 1", IF(G13="✅ Đúng", "✨ Xuất sắc! Bạn đã làm đúng.", "💡 Gợi ý: " &amp; "Quan sát các trục của biểu đồ và so sánh giá trị số liệu giữa hai đối tượng được hỏi."))</f>
        <v/>
      </c>
      <c r="P13" s="5">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Q13" s="5">
        <f>IF(OR(H13="✅ Đúng", J13="✅ Đúng", L13="✅ Đúng"), "Đọc chính xác cột chú giải và số liệu tương ứng của hai quốc gia.", "🔒 Trả lời đúng để mở khóa Strategic Tip!")</f>
        <v/>
      </c>
    </row>
    <row r="14">
      <c r="A14" s="7" t="inlineStr">
        <is>
          <t>M10</t>
        </is>
      </c>
      <c r="B14" s="7" t="inlineStr">
        <is>
          <t>Reading &amp; Writing Module 1</t>
        </is>
      </c>
      <c r="C14" s="5" t="inlineStr">
        <is>
          <t>Command of Evidence (Quotation)</t>
        </is>
      </c>
      <c r="D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E14" s="5" t="inlineStr">
        <is>
          <t>Which quotation from a literary critic would be the most effective evidence in support of the underlined claim?</t>
        </is>
      </c>
      <c r="F14" s="5" t="inlineStr">
        <is>
          <t>A. Lựa chọn A
B. Lựa chọn B
C. Lựa chọn C
D. Lựa chọn D</t>
        </is>
      </c>
      <c r="G14" s="14" t="n"/>
      <c r="H14" s="7">
        <f>IF(ISBLANK(G14), "⏳ Chờ đáp án", IF(UPPER(TRIM(G14))="D", "✅ Đúng", "❌ Sai"))</f>
        <v/>
      </c>
      <c r="I14" s="14" t="n"/>
      <c r="J14" s="7">
        <f>IF(ISBLANK(I14), "", IF(UPPER(TRIM(I14))="D", "✅ Đúng", "❌ Sai"))</f>
        <v/>
      </c>
      <c r="K14" s="14" t="n"/>
      <c r="L14" s="7">
        <f>IF(ISBLANK(K14), "", IF(UPPER(TRIM(K14))="D", "✅ Đúng", "❌ Sai"))</f>
        <v/>
      </c>
      <c r="M14" s="7">
        <f>COUNTIF(H14, "❌ Sai") + COUNTIF(J14, "❌ Sai") + COUNTIF(L14, "❌ Sai")</f>
        <v/>
      </c>
      <c r="N14" s="7">
        <f>IF(ISBLANK(G14), "⏳ Chờ làm", IF(H14="✅ Đúng", "✅ Đúng ngay L1", IF(J14="✅ Đúng", "✅ Đúng ở L2", IF(L14="✅ Đúng", "✅ Đúng ở L3", "❌ Chưa đúng sau 3 lần"))))</f>
        <v/>
      </c>
      <c r="O14" s="13">
        <f>IF(ISBLANK(F14), "💡 Nhập đáp án vào Lần thử 1", IF(G14="✅ Đúng", "✨ Xuất sắc! Bạn đã làm đúng.", "💡 Gợi ý: " &amp; "Tìm trích dẫn chứa các từ khóa liên quan trực tiếp đến khía cạnh thẩm mỹ hoặc phong cách được nêu trong câu hỏi."))</f>
        <v/>
      </c>
      <c r="P14" s="5">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Q14" s="5">
        <f>IF(OR(H14="✅ Đúng", J14="✅ Đúng", L14="✅ Đúng"), "Bằng chứng hỗ trợ phải trực tiếp chứng minh tính chất 'aesthetic' (thẩm mỹ).", "🔒 Trả lời đúng để mở khóa Strategic Tip!")</f>
        <v/>
      </c>
    </row>
    <row r="15">
      <c r="A15" s="7" t="inlineStr">
        <is>
          <t>M11</t>
        </is>
      </c>
      <c r="B15" s="7" t="inlineStr">
        <is>
          <t>Reading &amp; Writing Module 1</t>
        </is>
      </c>
      <c r="C15" s="5" t="inlineStr">
        <is>
          <t>Command of Evidence (Table Data)</t>
        </is>
      </c>
      <c r="D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E15" s="5" t="inlineStr">
        <is>
          <t>Which statement about the decline in the percentage of tribal employees working in the business sector is best supported by information in the table?</t>
        </is>
      </c>
      <c r="F15" s="5" t="inlineStr">
        <is>
          <t>A. Lựa chọn A
B. Lựa chọn B
C. Lựa chọn C
D. Lựa chọn D</t>
        </is>
      </c>
      <c r="G15" s="14" t="n"/>
      <c r="H15" s="7">
        <f>IF(ISBLANK(G15), "⏳ Chờ đáp án", IF(UPPER(TRIM(G15))="A", "✅ Đúng", "❌ Sai"))</f>
        <v/>
      </c>
      <c r="I15" s="14" t="n"/>
      <c r="J15" s="7">
        <f>IF(ISBLANK(I15), "", IF(UPPER(TRIM(I15))="A", "✅ Đúng", "❌ Sai"))</f>
        <v/>
      </c>
      <c r="K15" s="14" t="n"/>
      <c r="L15" s="7">
        <f>IF(ISBLANK(K15), "", IF(UPPER(TRIM(K15))="A", "✅ Đúng", "❌ Sai"))</f>
        <v/>
      </c>
      <c r="M15" s="7">
        <f>COUNTIF(H15, "❌ Sai") + COUNTIF(J15, "❌ Sai") + COUNTIF(L15, "❌ Sai")</f>
        <v/>
      </c>
      <c r="N15" s="7">
        <f>IF(ISBLANK(G15), "⏳ Chờ làm", IF(H15="✅ Đúng", "✅ Đúng ngay L1", IF(J15="✅ Đúng", "✅ Đúng ở L2", IF(L15="✅ Đúng", "✅ Đúng ở L3", "❌ Chưa đúng sau 3 lần"))))</f>
        <v/>
      </c>
      <c r="O15" s="13">
        <f>IF(ISBLANK(F15), "💡 Nhập đáp án vào Lần thử 1", IF(G15="✅ Đúng", "✨ Xuất sắc! Bạn đã làm đúng.", "💡 Gợi ý: " &amp; "Đọc kỹ số liệu trong bảng ở các hàng/cột tương ứng với thời gian và ngành nghề được đề cập."))</f>
        <v/>
      </c>
      <c r="P15" s="5">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Q15" s="5">
        <f>IF(OR(H15="✅ Đúng", J15="✅ Đúng", L15="✅ Đúng"), "Tỷ lệ % giảm không có nghĩa là số lượng tuyệt đối giảm nếu tổng quy mô tăng.", "🔒 Trả lời đúng để mở khóa Strategic Tip!")</f>
        <v/>
      </c>
    </row>
    <row r="16">
      <c r="A16" s="7" t="inlineStr">
        <is>
          <t>M12</t>
        </is>
      </c>
      <c r="B16" s="7" t="inlineStr">
        <is>
          <t>Reading &amp; Writing Module 1</t>
        </is>
      </c>
      <c r="C16" s="5" t="inlineStr">
        <is>
          <t>Command of Evidence (Chart Interpretation)</t>
        </is>
      </c>
      <c r="D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E16" s="5" t="inlineStr">
        <is>
          <t>Which choice most effectively uses data from the graph to complete the assertion?</t>
        </is>
      </c>
      <c r="F16" s="5" t="inlineStr">
        <is>
          <t>A. Lựa chọn A
B. Lựa chọn B
C. Lựa chọn C
D. Lựa chọn D</t>
        </is>
      </c>
      <c r="G16" s="14" t="n"/>
      <c r="H16" s="7">
        <f>IF(ISBLANK(G16), "⏳ Chờ đáp án", IF(UPPER(TRIM(G16))="C", "✅ Đúng", "❌ Sai"))</f>
        <v/>
      </c>
      <c r="I16" s="14" t="n"/>
      <c r="J16" s="7">
        <f>IF(ISBLANK(I16), "", IF(UPPER(TRIM(I16))="C", "✅ Đúng", "❌ Sai"))</f>
        <v/>
      </c>
      <c r="K16" s="14" t="n"/>
      <c r="L16" s="7">
        <f>IF(ISBLANK(K16), "", IF(UPPER(TRIM(K16))="C", "✅ Đúng", "❌ Sai"))</f>
        <v/>
      </c>
      <c r="M16" s="7">
        <f>COUNTIF(H16, "❌ Sai") + COUNTIF(J16, "❌ Sai") + COUNTIF(L16, "❌ Sai")</f>
        <v/>
      </c>
      <c r="N16" s="7">
        <f>IF(ISBLANK(G16), "⏳ Chờ làm", IF(H16="✅ Đúng", "✅ Đúng ngay L1", IF(J16="✅ Đúng", "✅ Đúng ở L2", IF(L16="✅ Đúng", "✅ Đúng ở L3", "❌ Chưa đúng sau 3 lần"))))</f>
        <v/>
      </c>
      <c r="O16" s="13">
        <f>IF(ISBLANK(F16), "💡 Nhập đáp án vào Lần thử 1", IF(G16="✅ Đúng", "✨ Xuất sắc! Bạn đã làm đúng.", "💡 Gợi ý: " &amp; "So sánh tỉ lệ hoặc giá trị giữa các năm được biểu diễn trên đồ thị để xác định xu hướng chính."))</f>
        <v/>
      </c>
      <c r="P16" s="5">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Q16" s="5">
        <f>IF(OR(H16="✅ Đúng", J16="✅ Đúng", L16="✅ Đúng"), "Đọc đúng cột năm (2003 vs 2005) và nhóm lý do bị phạt.", "🔒 Trả lời đúng để mở khóa Strategic Tip!")</f>
        <v/>
      </c>
    </row>
    <row r="17">
      <c r="A17" s="7" t="inlineStr">
        <is>
          <t>M13</t>
        </is>
      </c>
      <c r="B17" s="7" t="inlineStr">
        <is>
          <t>Reading &amp; Writing Module 1</t>
        </is>
      </c>
      <c r="C17" s="5" t="inlineStr">
        <is>
          <t>Command of Evidence (Literary Text)</t>
        </is>
      </c>
      <c r="D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E17" s="5" t="inlineStr">
        <is>
          <t>Which quotation from Philoctetes most effectively illustrates the claim?</t>
        </is>
      </c>
      <c r="F17" s="5" t="inlineStr">
        <is>
          <t>A. Lựa chọn A
B. Lựa chọn B
C. Lựa chọn C
D. Lựa chọn D</t>
        </is>
      </c>
      <c r="G17" s="14" t="n"/>
      <c r="H17" s="7">
        <f>IF(ISBLANK(G17), "⏳ Chờ đáp án", IF(UPPER(TRIM(G17))="C", "✅ Đúng", "❌ Sai"))</f>
        <v/>
      </c>
      <c r="I17" s="14" t="n"/>
      <c r="J17" s="7">
        <f>IF(ISBLANK(I17), "", IF(UPPER(TRIM(I17))="C", "✅ Đúng", "❌ Sai"))</f>
        <v/>
      </c>
      <c r="K17" s="14" t="n"/>
      <c r="L17" s="7">
        <f>IF(ISBLANK(K17), "", IF(UPPER(TRIM(K17))="C", "✅ Đúng", "❌ Sai"))</f>
        <v/>
      </c>
      <c r="M17" s="7">
        <f>COUNTIF(H17, "❌ Sai") + COUNTIF(J17, "❌ Sai") + COUNTIF(L17, "❌ Sai")</f>
        <v/>
      </c>
      <c r="N17" s="7">
        <f>IF(ISBLANK(G17), "⏳ Chờ làm", IF(H17="✅ Đúng", "✅ Đúng ngay L1", IF(J17="✅ Đúng", "✅ Đúng ở L2", IF(L17="✅ Đúng", "✅ Đúng ở L3", "❌ Chưa đúng sau 3 lần"))))</f>
        <v/>
      </c>
      <c r="O17" s="13">
        <f>IF(ISBLANK(F17), "💡 Nhập đáp án vào Lần thử 1", IF(G17="✅ Đúng", "✨ Xuất sắc! Bạn đã làm đúng.", "💡 Gợi ý: " &amp; "Tìm trích dẫn giải thích nguyên nhân hoặc động cơ dẫn đến sự tin tưởng của nhân vật."))</f>
        <v/>
      </c>
      <c r="P17" s="5">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Q17" s="5">
        <f>IF(OR(H17="✅ Đúng", J17="✅ Đúng", L17="✅ Đúng"), "Chọn câu thoại thể hiện rõ luận điểm Neoptolemus không thuộc nhóm cũ.", "🔒 Trả lời đúng để mở khóa Strategic Tip!")</f>
        <v/>
      </c>
    </row>
    <row r="18">
      <c r="A18" s="7" t="inlineStr">
        <is>
          <t>M14</t>
        </is>
      </c>
      <c r="B18" s="7" t="inlineStr">
        <is>
          <t>Reading &amp; Writing Module 1</t>
        </is>
      </c>
      <c r="C18" s="5" t="inlineStr">
        <is>
          <t>Text Completion / Logical Inference</t>
        </is>
      </c>
      <c r="D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E18" s="5" t="inlineStr">
        <is>
          <t>Which choice most logically completes the text?</t>
        </is>
      </c>
      <c r="F18" s="5" t="inlineStr">
        <is>
          <t>A. Lựa chọn A
B. Lựa chọn B
C. Lựa chọn C
D. Lựa chọn D</t>
        </is>
      </c>
      <c r="G18" s="14" t="n"/>
      <c r="H18" s="7">
        <f>IF(ISBLANK(G18), "⏳ Chờ đáp án", IF(UPPER(TRIM(G18))="A", "✅ Đúng", "❌ Sai"))</f>
        <v/>
      </c>
      <c r="I18" s="14" t="n"/>
      <c r="J18" s="7">
        <f>IF(ISBLANK(I18), "", IF(UPPER(TRIM(I18))="A", "✅ Đúng", "❌ Sai"))</f>
        <v/>
      </c>
      <c r="K18" s="14" t="n"/>
      <c r="L18" s="7">
        <f>IF(ISBLANK(K18), "", IF(UPPER(TRIM(K18))="A", "✅ Đúng", "❌ Sai"))</f>
        <v/>
      </c>
      <c r="M18" s="7">
        <f>COUNTIF(H18, "❌ Sai") + COUNTIF(J18, "❌ Sai") + COUNTIF(L18, "❌ Sai")</f>
        <v/>
      </c>
      <c r="N18" s="7">
        <f>IF(ISBLANK(G18), "⏳ Chờ làm", IF(H18="✅ Đúng", "✅ Đúng ngay L1", IF(J18="✅ Đúng", "✅ Đúng ở L2", IF(L18="✅ Đúng", "✅ Đúng ở L3", "❌ Chưa đúng sau 3 lần"))))</f>
        <v/>
      </c>
      <c r="O18" s="13">
        <f>IF(ISBLANK(F18), "💡 Nhập đáp án vào Lần thử 1", IF(G18="✅ Đúng", "✨ Xuất sắc! Bạn đã làm đúng.", "💡 Gợi ý: " &amp; "Xác định mối quan hệ nguyên nhân - kết quả giữa hai khía cạnh được thảo luận trong bài."))</f>
        <v/>
      </c>
      <c r="P18" s="5">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Q18" s="5">
        <f>IF(OR(H18="✅ Đúng", J18="✅ Đúng", L18="✅ Đúng"), "Suy luận logic: Xem nhẹ 'pure invention' -&gt; Bỏ qua tính sáng tạo (creativity).", "🔒 Trả lời đúng để mở khóa Strategic Tip!")</f>
        <v/>
      </c>
    </row>
    <row r="19">
      <c r="A19" s="7" t="inlineStr">
        <is>
          <t>M15</t>
        </is>
      </c>
      <c r="B19" s="7" t="inlineStr">
        <is>
          <t>Reading &amp; Writing Module 1</t>
        </is>
      </c>
      <c r="C19" s="5" t="inlineStr">
        <is>
          <t>Text Completion / Inference</t>
        </is>
      </c>
      <c r="D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E19" s="5" t="inlineStr">
        <is>
          <t>Which choice most logically completes the text?</t>
        </is>
      </c>
      <c r="F19" s="5" t="inlineStr">
        <is>
          <t>A. Lựa chọn A
B. Lựa chọn B
C. Lựa chọn C
D. Lựa chọn D</t>
        </is>
      </c>
      <c r="G19" s="14" t="n"/>
      <c r="H19" s="7">
        <f>IF(ISBLANK(G19), "⏳ Chờ đáp án", IF(UPPER(TRIM(G19))="A", "✅ Đúng", "❌ Sai"))</f>
        <v/>
      </c>
      <c r="I19" s="14" t="n"/>
      <c r="J19" s="7">
        <f>IF(ISBLANK(I19), "", IF(UPPER(TRIM(I19))="A", "✅ Đúng", "❌ Sai"))</f>
        <v/>
      </c>
      <c r="K19" s="14" t="n"/>
      <c r="L19" s="7">
        <f>IF(ISBLANK(K19), "", IF(UPPER(TRIM(K19))="A", "✅ Đúng", "❌ Sai"))</f>
        <v/>
      </c>
      <c r="M19" s="7">
        <f>COUNTIF(H19, "❌ Sai") + COUNTIF(J19, "❌ Sai") + COUNTIF(L19, "❌ Sai")</f>
        <v/>
      </c>
      <c r="N19" s="7">
        <f>IF(ISBLANK(G19), "⏳ Chờ làm", IF(H19="✅ Đúng", "✅ Đúng ngay L1", IF(J19="✅ Đúng", "✅ Đúng ở L2", IF(L19="✅ Đúng", "✅ Đúng ở L3", "❌ Chưa đúng sau 3 lần"))))</f>
        <v/>
      </c>
      <c r="O19" s="13">
        <f>IF(ISBLANK(F19), "💡 Nhập đáp án vào Lần thử 1", IF(G19="✅ Đúng", "✨ Xuất sắc! Bạn đã làm đúng.", "💡 Gợi ý: " &amp; "Phân tích lập luận của tác giả và chọn câu kết luận nối tiếp hợp lý với dữ kiện đã cho."))</f>
        <v/>
      </c>
      <c r="P19" s="5">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Q19" s="5">
        <f>IF(OR(H19="✅ Đúng", J19="✅ Đúng", L19="✅ Đúng"), "Kết luận hợp lý: Giải pháp hiện tại gặp thách thức -&gt; Cần tiếp tục thử nghiệm ý tưởng mới.", "🔒 Trả lời đúng để mở khóa Strategic Tip!")</f>
        <v/>
      </c>
    </row>
    <row r="20">
      <c r="A20" s="7" t="inlineStr">
        <is>
          <t>M16</t>
        </is>
      </c>
      <c r="B20" s="7" t="inlineStr">
        <is>
          <t>Reading &amp; Writing Module 1</t>
        </is>
      </c>
      <c r="C20" s="5" t="inlineStr">
        <is>
          <t>Standard English Conventions (Relative Clauses)</t>
        </is>
      </c>
      <c r="D20" s="5" t="inlineStr">
        <is>
          <t>With an average summer temperature of 82.5 degrees Fahrenheit, Nicosia is one European ______ many travelers recommend, especially from June to September.</t>
        </is>
      </c>
      <c r="E20" s="5" t="inlineStr">
        <is>
          <t>Which choice completes the text so that it conforms to the conventions of Standard English?</t>
        </is>
      </c>
      <c r="F20" s="5" t="inlineStr">
        <is>
          <t>A. Lựa chọn A
B. Lựa chọn B
C. Lựa chọn C
D. Lựa chọn D</t>
        </is>
      </c>
      <c r="G20" s="14" t="n"/>
      <c r="H20" s="7">
        <f>IF(ISBLANK(G20), "⏳ Chờ đáp án", IF(UPPER(TRIM(G20))="C", "✅ Đúng", "❌ Sai"))</f>
        <v/>
      </c>
      <c r="I20" s="14" t="n"/>
      <c r="J20" s="7">
        <f>IF(ISBLANK(I20), "", IF(UPPER(TRIM(I20))="C", "✅ Đúng", "❌ Sai"))</f>
        <v/>
      </c>
      <c r="K20" s="14" t="n"/>
      <c r="L20" s="7">
        <f>IF(ISBLANK(K20), "", IF(UPPER(TRIM(K20))="C", "✅ Đúng", "❌ Sai"))</f>
        <v/>
      </c>
      <c r="M20" s="7">
        <f>COUNTIF(H20, "❌ Sai") + COUNTIF(J20, "❌ Sai") + COUNTIF(L20, "❌ Sai")</f>
        <v/>
      </c>
      <c r="N20" s="7">
        <f>IF(ISBLANK(G20), "⏳ Chờ làm", IF(H20="✅ Đúng", "✅ Đúng ngay L1", IF(J20="✅ Đúng", "✅ Đúng ở L2", IF(L20="✅ Đúng", "✅ Đúng ở L3", "❌ Chưa đúng sau 3 lần"))))</f>
        <v/>
      </c>
      <c r="O20" s="13">
        <f>IF(ISBLANK(F20), "💡 Nhập đáp án vào Lần thử 1", IF(G20="✅ Đúng", "✨ Xuất sắc! Bạn đã làm đúng.", "💡 Gợi ý: " &amp; "Xác định mệnh đề phụ thuộc và chọn đại từ quan hệ phù hợp với danh từ chỉ người/vật đứng trước."))</f>
        <v/>
      </c>
      <c r="P20" s="5">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Q20" s="5">
        <f>IF(OR(H20="✅ Đúng", J20="✅ Đúng", L20="✅ Đúng"), "Dùng 'that' không dấu phẩy cho mệnh đề quan hệ giới hạn.", "🔒 Trả lời đúng để mở khóa Strategic Tip!")</f>
        <v/>
      </c>
    </row>
    <row r="21" ht="15.75" customHeight="1" s="19">
      <c r="A21" s="7" t="inlineStr">
        <is>
          <t>M17</t>
        </is>
      </c>
      <c r="B21" s="7" t="inlineStr">
        <is>
          <t>Reading &amp; Writing Module 1</t>
        </is>
      </c>
      <c r="C21" s="5" t="inlineStr">
        <is>
          <t>Standard English Conventions (Verb Tense &amp; Progress)</t>
        </is>
      </c>
      <c r="D21" s="5" t="inlineStr">
        <is>
          <t>Nanoengineers have developed synthesized mesoporous silica nanoparticles that are used to transport genes and medicines to specific cells in the body. As nanotechnology evolves, medical technology ______ to evolve as well.</t>
        </is>
      </c>
      <c r="E21" s="5" t="inlineStr">
        <is>
          <t>Which choice completes the text so that it conforms to the conventions of Standard English?</t>
        </is>
      </c>
      <c r="F21" s="5" t="inlineStr">
        <is>
          <t>A. Lựa chọn A
B. Lựa chọn B
C. Lựa chọn C
D. Lựa chọn D</t>
        </is>
      </c>
      <c r="G21" s="14" t="n"/>
      <c r="H21" s="7">
        <f>IF(ISBLANK(G21), "⏳ Chờ đáp án", IF(UPPER(TRIM(G21))="D", "✅ Đúng", "❌ Sai"))</f>
        <v/>
      </c>
      <c r="I21" s="14" t="n"/>
      <c r="J21" s="7">
        <f>IF(ISBLANK(I21), "", IF(UPPER(TRIM(I21))="D", "✅ Đúng", "❌ Sai"))</f>
        <v/>
      </c>
      <c r="K21" s="14" t="n"/>
      <c r="L21" s="7">
        <f>IF(ISBLANK(K21), "", IF(UPPER(TRIM(K21))="D", "✅ Đúng", "❌ Sai"))</f>
        <v/>
      </c>
      <c r="M21" s="7">
        <f>COUNTIF(H21, "❌ Sai") + COUNTIF(J21, "❌ Sai") + COUNTIF(L21, "❌ Sai")</f>
        <v/>
      </c>
      <c r="N21" s="7">
        <f>IF(ISBLANK(G21), "⏳ Chờ làm", IF(H21="✅ Đúng", "✅ Đúng ngay L1", IF(J21="✅ Đúng", "✅ Đúng ở L2", IF(L21="✅ Đúng", "✅ Đúng ở L3", "❌ Chưa đúng sau 3 lần"))))</f>
        <v/>
      </c>
      <c r="O21" s="13">
        <f>IF(ISBLANK(F21), "💡 Nhập đáp án vào Lần thử 1", IF(G21="✅ Đúng", "✨ Xuất sắc! Bạn đã làm đúng.", "💡 Gợi ý: " &amp; "Xác định mốc thời gian trong câu và đảm bảo thì của động từ đồng bộ với các động từ khác."))</f>
        <v/>
      </c>
      <c r="P21" s="5">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Q21" s="5">
        <f>IF(OR(H21="✅ Đúng", J21="✅ Đúng", L21="✅ Đúng"), "Sự tương thích thì: As [Present], [Future].", "🔒 Trả lời đúng để mở khóa Strategic Tip!")</f>
        <v/>
      </c>
    </row>
    <row r="22" ht="15.75" customHeight="1" s="19">
      <c r="A22" s="7" t="inlineStr">
        <is>
          <t>M18</t>
        </is>
      </c>
      <c r="B22" s="7" t="inlineStr">
        <is>
          <t>Reading &amp; Writing Module 1</t>
        </is>
      </c>
      <c r="C22" s="5" t="inlineStr">
        <is>
          <t>Standard English Conventions (Punctuation / Dashes)</t>
        </is>
      </c>
      <c r="D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E22" s="5" t="inlineStr">
        <is>
          <t>Which choice completes the text so that it conforms to the conventions of Standard English?</t>
        </is>
      </c>
      <c r="F22" s="5" t="inlineStr">
        <is>
          <t>A. Lựa chọn A
B. Lựa chọn B
C. Lựa chọn C
D. Lựa chọn D</t>
        </is>
      </c>
      <c r="G22" s="14" t="n"/>
      <c r="H22" s="7">
        <f>IF(ISBLANK(G22), "⏳ Chờ đáp án", IF(UPPER(TRIM(G22))="B", "✅ Đúng", "❌ Sai"))</f>
        <v/>
      </c>
      <c r="I22" s="14" t="n"/>
      <c r="J22" s="7">
        <f>IF(ISBLANK(I22), "", IF(UPPER(TRIM(I22))="B", "✅ Đúng", "❌ Sai"))</f>
        <v/>
      </c>
      <c r="K22" s="14" t="n"/>
      <c r="L22" s="7">
        <f>IF(ISBLANK(K22), "", IF(UPPER(TRIM(K22))="B", "✅ Đúng", "❌ Sai"))</f>
        <v/>
      </c>
      <c r="M22" s="7">
        <f>COUNTIF(H22, "❌ Sai") + COUNTIF(J22, "❌ Sai") + COUNTIF(L22, "❌ Sai")</f>
        <v/>
      </c>
      <c r="N22" s="7">
        <f>IF(ISBLANK(G22), "⏳ Chờ làm", IF(H22="✅ Đúng", "✅ Đúng ngay L1", IF(J22="✅ Đúng", "✅ Đúng ở L2", IF(L22="✅ Đúng", "✅ Đúng ở L3", "❌ Chưa đúng sau 3 lần"))))</f>
        <v/>
      </c>
      <c r="O22" s="13">
        <f>IF(ISBLANK(F22), "💡 Nhập đáp án vào Lần thử 1", IF(G22="✅ Đúng", "✨ Xuất sắc! Bạn đã làm đúng.", "💡 Gợi ý: " &amp; "Xác định thành phần bổ sung không thiết yếu (non-essential clause) để dùng cặp dấu phân cách tương ứng."))</f>
        <v/>
      </c>
      <c r="P22" s="5">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Q22" s="5">
        <f>IF(OR(H22="✅ Đúng", J22="✅ Đúng", L22="✅ Đúng"), "Dấu gạch ngang đi theo cặp: — [thông tin bổ sung] —.", "🔒 Trả lời đúng để mở khóa Strategic Tip!")</f>
        <v/>
      </c>
    </row>
    <row r="23" ht="15.75" customHeight="1" s="19">
      <c r="A23" s="7" t="inlineStr">
        <is>
          <t>M19</t>
        </is>
      </c>
      <c r="B23" s="7" t="inlineStr">
        <is>
          <t>Reading &amp; Writing Module 1</t>
        </is>
      </c>
      <c r="C23" s="5" t="inlineStr">
        <is>
          <t>Standard English Conventions (Colons)</t>
        </is>
      </c>
      <c r="D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E23" s="5" t="inlineStr">
        <is>
          <t>Which choice completes the text so that it conforms to the conventions of Standard English?</t>
        </is>
      </c>
      <c r="F23" s="5" t="inlineStr">
        <is>
          <t>A. Lựa chọn A
B. Lựa chọn B
C. Lựa chọn C
D. Lựa chọn D</t>
        </is>
      </c>
      <c r="G23" s="14" t="n"/>
      <c r="H23" s="7">
        <f>IF(ISBLANK(G23), "⏳ Chờ đáp án", IF(UPPER(TRIM(G23))="B", "✅ Đúng", "❌ Sai"))</f>
        <v/>
      </c>
      <c r="I23" s="14" t="n"/>
      <c r="J23" s="7">
        <f>IF(ISBLANK(I23), "", IF(UPPER(TRIM(I23))="B", "✅ Đúng", "❌ Sai"))</f>
        <v/>
      </c>
      <c r="K23" s="14" t="n"/>
      <c r="L23" s="7">
        <f>IF(ISBLANK(K23), "", IF(UPPER(TRIM(K23))="B", "✅ Đúng", "❌ Sai"))</f>
        <v/>
      </c>
      <c r="M23" s="7">
        <f>COUNTIF(H23, "❌ Sai") + COUNTIF(J23, "❌ Sai") + COUNTIF(L23, "❌ Sai")</f>
        <v/>
      </c>
      <c r="N23" s="7">
        <f>IF(ISBLANK(G23), "⏳ Chờ làm", IF(H23="✅ Đúng", "✅ Đúng ngay L1", IF(J23="✅ Đúng", "✅ Đúng ở L2", IF(L23="✅ Đúng", "✅ Đúng ở L3", "❌ Chưa đúng sau 3 lần"))))</f>
        <v/>
      </c>
      <c r="O23" s="13">
        <f>IF(ISBLANK(F23), "💡 Nhập đáp án vào Lần thử 1", IF(G23="✅ Đúng", "✨ Xuất sắc! Bạn đã làm đúng.", "💡 Gợi ý: " &amp; "Kiểm tra xem vế trước chỗ trống có phải là một mệnh đề độc lập hoàn chỉnh hay không trước khi dùng dấu hai chấm."))</f>
        <v/>
      </c>
      <c r="P23" s="5">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Q23" s="5">
        <f>IF(OR(H23="✅ Đúng", J23="✅ Đúng", L23="✅ Đúng"), "Dấu hai chấm (:) báo hiệu danh sách giải thích phía sau.", "🔒 Trả lời đúng để mở khóa Strategic Tip!")</f>
        <v/>
      </c>
    </row>
    <row r="24" ht="15.75" customHeight="1" s="19">
      <c r="A24" s="7" t="inlineStr">
        <is>
          <t>M20</t>
        </is>
      </c>
      <c r="B24" s="7" t="inlineStr">
        <is>
          <t>Reading &amp; Writing Module 1</t>
        </is>
      </c>
      <c r="C24" s="5" t="inlineStr">
        <is>
          <t>Standard English Conventions (Semicolons &amp; Colons)</t>
        </is>
      </c>
      <c r="D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E24" s="5" t="inlineStr">
        <is>
          <t>Which choice completes the text so that it conforms to the conventions of Standard English?</t>
        </is>
      </c>
      <c r="F24" s="5" t="inlineStr">
        <is>
          <t>A. Lựa chọn A
B. Lựa chọn B
C. Lựa chọn C
D. Lựa chọn D</t>
        </is>
      </c>
      <c r="G24" s="14" t="n"/>
      <c r="H24" s="7">
        <f>IF(ISBLANK(G24), "⏳ Chờ đáp án", IF(UPPER(TRIM(G24))="B", "✅ Đúng", "❌ Sai"))</f>
        <v/>
      </c>
      <c r="I24" s="14" t="n"/>
      <c r="J24" s="7">
        <f>IF(ISBLANK(I24), "", IF(UPPER(TRIM(I24))="B", "✅ Đúng", "❌ Sai"))</f>
        <v/>
      </c>
      <c r="K24" s="14" t="n"/>
      <c r="L24" s="7">
        <f>IF(ISBLANK(K24), "", IF(UPPER(TRIM(K24))="B", "✅ Đúng", "❌ Sai"))</f>
        <v/>
      </c>
      <c r="M24" s="7">
        <f>COUNTIF(H24, "❌ Sai") + COUNTIF(J24, "❌ Sai") + COUNTIF(L24, "❌ Sai")</f>
        <v/>
      </c>
      <c r="N24" s="7">
        <f>IF(ISBLANK(G24), "⏳ Chờ làm", IF(H24="✅ Đúng", "✅ Đúng ngay L1", IF(J24="✅ Đúng", "✅ Đúng ở L2", IF(L24="✅ Đúng", "✅ Đúng ở L3", "❌ Chưa đúng sau 3 lần"))))</f>
        <v/>
      </c>
      <c r="O24" s="13">
        <f>IF(ISBLANK(F24), "💡 Nhập đáp án vào Lần thử 1", IF(G24="✅ Đúng", "✨ Xuất sắc! Bạn đã làm đúng.", "💡 Gợi ý: " &amp; "Phân tích mối quan hệ giữa hai mệnh đề độc lập để chọn dấu nối phù hợp (dấu chấm phẩy hoặc dấu chấm)."))</f>
        <v/>
      </c>
      <c r="P24" s="5">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Q24" s="5">
        <f>IF(OR(H24="✅ Đúng", J24="✅ Đúng", L24="✅ Đúng"), "Dấu hai chấm nối 2 mệnh đề độc lập khi mệnh đề 2 giải thích cho mệnh đề 1.", "🔒 Trả lời đúng để mở khóa Strategic Tip!")</f>
        <v/>
      </c>
    </row>
    <row r="25" ht="15.75" customHeight="1" s="19">
      <c r="A25" s="7" t="inlineStr">
        <is>
          <t>M21</t>
        </is>
      </c>
      <c r="B25" s="7" t="inlineStr">
        <is>
          <t>Reading &amp; Writing Module 1</t>
        </is>
      </c>
      <c r="C25" s="5" t="inlineStr">
        <is>
          <t>Standard English Conventions (Subject-Verb Agreement)</t>
        </is>
      </c>
      <c r="D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E25" s="5" t="inlineStr">
        <is>
          <t>Which choice completes the text so that it conforms to the conventions of Standard English?</t>
        </is>
      </c>
      <c r="F25" s="5" t="inlineStr">
        <is>
          <t>A. Lựa chọn A
B. Lựa chọn B
C. Lựa chọn C
D. Lựa chọn D</t>
        </is>
      </c>
      <c r="G25" s="14" t="n"/>
      <c r="H25" s="7">
        <f>IF(ISBLANK(G25), "⏳ Chờ đáp án", IF(UPPER(TRIM(G25))="C", "✅ Đúng", "❌ Sai"))</f>
        <v/>
      </c>
      <c r="I25" s="14" t="n"/>
      <c r="J25" s="7">
        <f>IF(ISBLANK(I25), "", IF(UPPER(TRIM(I25))="C", "✅ Đúng", "❌ Sai"))</f>
        <v/>
      </c>
      <c r="K25" s="14" t="n"/>
      <c r="L25" s="7">
        <f>IF(ISBLANK(K25), "", IF(UPPER(TRIM(K25))="C", "✅ Đúng", "❌ Sai"))</f>
        <v/>
      </c>
      <c r="M25" s="7">
        <f>COUNTIF(H25, "❌ Sai") + COUNTIF(J25, "❌ Sai") + COUNTIF(L25, "❌ Sai")</f>
        <v/>
      </c>
      <c r="N25" s="7">
        <f>IF(ISBLANK(G25), "⏳ Chờ làm", IF(H25="✅ Đúng", "✅ Đúng ngay L1", IF(J25="✅ Đúng", "✅ Đúng ở L2", IF(L25="✅ Đúng", "✅ Đúng ở L3", "❌ Chưa đúng sau 3 lần"))))</f>
        <v/>
      </c>
      <c r="O25" s="13">
        <f>IF(ISBLANK(F25), "💡 Nhập đáp án vào Lần thử 1", IF(G25="✅ Đúng", "✨ Xuất sắc! Bạn đã làm đúng.", "💡 Gợi ý: " &amp; "Xác định chính xác chủ ngữ chính của câu (loại bỏ các cụm giới từ nhiễu) để chia động từ số ít hay số nhiều."))</f>
        <v/>
      </c>
      <c r="P25" s="5">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Q25" s="5">
        <f>IF(OR(H25="✅ Đúng", J25="✅ Đúng", L25="✅ Đúng"), "Gạch bỏ thông tin xen giữa trong hai dấu gạch ngang để xác định chủ ngữ chính.", "🔒 Trả lời đúng để mở khóa Strategic Tip!")</f>
        <v/>
      </c>
    </row>
    <row r="26" ht="15.75" customHeight="1" s="19">
      <c r="A26" s="7" t="inlineStr">
        <is>
          <t>M22</t>
        </is>
      </c>
      <c r="B26" s="7" t="inlineStr">
        <is>
          <t>Reading &amp; Writing Module 1</t>
        </is>
      </c>
      <c r="C26" s="5" t="inlineStr">
        <is>
          <t>Transitions (Sequence &amp; Step)</t>
        </is>
      </c>
      <c r="D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E26" s="5" t="inlineStr">
        <is>
          <t>Which choice completes the text with the most logical transition?</t>
        </is>
      </c>
      <c r="F26" s="5" t="inlineStr">
        <is>
          <t>A. Lựa chọn A
B. Lựa chọn B
C. Lựa chọn C
D. Lựa chọn D</t>
        </is>
      </c>
      <c r="G26" s="14" t="n"/>
      <c r="H26" s="7">
        <f>IF(ISBLANK(G26), "⏳ Chờ đáp án", IF(UPPER(TRIM(G26))="D", "✅ Đúng", "❌ Sai"))</f>
        <v/>
      </c>
      <c r="I26" s="14" t="n"/>
      <c r="J26" s="7">
        <f>IF(ISBLANK(I26), "", IF(UPPER(TRIM(I26))="D", "✅ Đúng", "❌ Sai"))</f>
        <v/>
      </c>
      <c r="K26" s="14" t="n"/>
      <c r="L26" s="7">
        <f>IF(ISBLANK(K26), "", IF(UPPER(TRIM(K26))="D", "✅ Đúng", "❌ Sai"))</f>
        <v/>
      </c>
      <c r="M26" s="7">
        <f>COUNTIF(H26, "❌ Sai") + COUNTIF(J26, "❌ Sai") + COUNTIF(L26, "❌ Sai")</f>
        <v/>
      </c>
      <c r="N26" s="7">
        <f>IF(ISBLANK(G26), "⏳ Chờ làm", IF(H26="✅ Đúng", "✅ Đúng ngay L1", IF(J26="✅ Đúng", "✅ Đúng ở L2", IF(L26="✅ Đúng", "✅ Đúng ở L3", "❌ Chưa đúng sau 3 lần"))))</f>
        <v/>
      </c>
      <c r="O26" s="13">
        <f>IF(ISBLANK(F26), "💡 Nhập đáp án vào Lần thử 1", IF(G26="✅ Đúng", "✨ Xuất sắc! Bạn đã làm đúng.", "💡 Gợi ý: " &amp; "Xác định mối quan hệ logic giữa hai câu (nguyên nhân-kết quả, bổ sung, hay trình tự thời gian)."))</f>
        <v/>
      </c>
      <c r="P26" s="5">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Q26" s="5">
        <f>IF(OR(H26="✅ Đúng", J26="✅ Đúng", L26="✅ Đúng"), "Từ nối chỉ thứ tự các bước trong quy trình: Next.", "🔒 Trả lời đúng để mở khóa Strategic Tip!")</f>
        <v/>
      </c>
    </row>
    <row r="27" ht="15.75" customHeight="1" s="19">
      <c r="A27" s="7" t="inlineStr">
        <is>
          <t>M23</t>
        </is>
      </c>
      <c r="B27" s="7" t="inlineStr">
        <is>
          <t>Reading &amp; Writing Module 1</t>
        </is>
      </c>
      <c r="C27" s="5" t="inlineStr">
        <is>
          <t>Transitions (Elaboration &amp; Specifics)</t>
        </is>
      </c>
      <c r="D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E27" s="5" t="inlineStr">
        <is>
          <t>Which choice completes the text with the most logical transition?</t>
        </is>
      </c>
      <c r="F27" s="5" t="inlineStr">
        <is>
          <t>A. Lựa chọn A
B. Lựa chọn B
C. Lựa chọn C
D. Lựa chọn D</t>
        </is>
      </c>
      <c r="G27" s="14" t="n"/>
      <c r="H27" s="7">
        <f>IF(ISBLANK(G27), "⏳ Chờ đáp án", IF(UPPER(TRIM(G27))="D", "✅ Đúng", "❌ Sai"))</f>
        <v/>
      </c>
      <c r="I27" s="14" t="n"/>
      <c r="J27" s="7">
        <f>IF(ISBLANK(I27), "", IF(UPPER(TRIM(I27))="D", "✅ Đúng", "❌ Sai"))</f>
        <v/>
      </c>
      <c r="K27" s="14" t="n"/>
      <c r="L27" s="7">
        <f>IF(ISBLANK(K27), "", IF(UPPER(TRIM(K27))="D", "✅ Đúng", "❌ Sai"))</f>
        <v/>
      </c>
      <c r="M27" s="7">
        <f>COUNTIF(H27, "❌ Sai") + COUNTIF(J27, "❌ Sai") + COUNTIF(L27, "❌ Sai")</f>
        <v/>
      </c>
      <c r="N27" s="7">
        <f>IF(ISBLANK(G27), "⏳ Chờ làm", IF(H27="✅ Đúng", "✅ Đúng ngay L1", IF(J27="✅ Đúng", "✅ Đúng ở L2", IF(L27="✅ Đúng", "✅ Đúng ở L3", "❌ Chưa đúng sau 3 lần"))))</f>
        <v/>
      </c>
      <c r="O27" s="13">
        <f>IF(ISBLANK(F27), "💡 Nhập đáp án vào Lần thử 1", IF(G27="✅ Đúng", "✨ Xuất sắc! Bạn đã làm đúng.", "💡 Gợi ý: " &amp; "Xác định xem câu sau đang giải thích chi tiết hơn hay đưa ra ví dụ minh họa cho câu trước."))</f>
        <v/>
      </c>
      <c r="P27" s="5">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Q27" s="5">
        <f>IF(OR(H27="✅ Đúng", J27="✅ Đúng", L27="✅ Đúng"), "Specifically = đi vào chi tiết minh họa cụ thể.", "🔒 Trả lời đúng để mở khóa Strategic Tip!")</f>
        <v/>
      </c>
    </row>
    <row r="28" ht="15.75" customHeight="1" s="19">
      <c r="A28" s="7" t="inlineStr">
        <is>
          <t>M24</t>
        </is>
      </c>
      <c r="B28" s="7" t="inlineStr">
        <is>
          <t>Reading &amp; Writing Module 1</t>
        </is>
      </c>
      <c r="C28" s="5" t="inlineStr">
        <is>
          <t>Rhetorical Synthesis / Student Notes</t>
        </is>
      </c>
      <c r="D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E28" s="5" t="inlineStr">
        <is>
          <t>The student wants to introduce pistol shrimp to an audience unfamiliar with these crustaceans. Which choice most effectively uses relevant information from the notes to accomplish this goal?</t>
        </is>
      </c>
      <c r="F28" s="5" t="inlineStr">
        <is>
          <t>A. Lựa chọn A
B. Lựa chọn B
C. Lựa chọn C
D. Lựa chọn D</t>
        </is>
      </c>
      <c r="G28" s="14" t="n"/>
      <c r="H28" s="7">
        <f>IF(ISBLANK(G28), "⏳ Chờ đáp án", IF(UPPER(TRIM(G28))="B", "✅ Đúng", "❌ Sai"))</f>
        <v/>
      </c>
      <c r="I28" s="14" t="n"/>
      <c r="J28" s="7">
        <f>IF(ISBLANK(I28), "", IF(UPPER(TRIM(I28))="B", "✅ Đúng", "❌ Sai"))</f>
        <v/>
      </c>
      <c r="K28" s="14" t="n"/>
      <c r="L28" s="7">
        <f>IF(ISBLANK(K28), "", IF(UPPER(TRIM(K28))="B", "✅ Đúng", "❌ Sai"))</f>
        <v/>
      </c>
      <c r="M28" s="7">
        <f>COUNTIF(H28, "❌ Sai") + COUNTIF(J28, "❌ Sai") + COUNTIF(L28, "❌ Sai")</f>
        <v/>
      </c>
      <c r="N28" s="7">
        <f>IF(ISBLANK(G28), "⏳ Chờ làm", IF(H28="✅ Đúng", "✅ Đúng ngay L1", IF(J28="✅ Đúng", "✅ Đúng ở L2", IF(L28="✅ Đúng", "✅ Đúng ở L3", "❌ Chưa đúng sau 3 lần"))))</f>
        <v/>
      </c>
      <c r="O28" s="13">
        <f>IF(ISBLANK(F28), "💡 Nhập đáp án vào Lần thử 1", IF(G28="✅ Đúng", "✨ Xuất sắc! Bạn đã làm đúng.", "💡 Gợi ý: " &amp; "Đọc kỹ yêu cầu của đề bài (Goal/Target) để chọn ghi chú đáp ứng chính xác mục tiêu đó."))</f>
        <v/>
      </c>
      <c r="P28" s="5">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Q28" s="5">
        <f>IF(OR(H28="✅ Đúng", J28="✅ Đúng", L28="✅ Đúng"), "Giới thiệu đối tượng mới = Nêu tên đối tượng + Định nghĩa/Đặc điểm nhận diện chính.", "🔒 Trả lời đúng để mở khóa Strategic Tip!")</f>
        <v/>
      </c>
    </row>
    <row r="29" ht="15.75" customHeight="1" s="19">
      <c r="A29" s="7" t="inlineStr">
        <is>
          <t>M25</t>
        </is>
      </c>
      <c r="B29" s="7" t="inlineStr">
        <is>
          <t>Reading &amp; Writing Module 1</t>
        </is>
      </c>
      <c r="C29" s="5" t="inlineStr">
        <is>
          <t>Rhetorical Synthesis / Student Notes</t>
        </is>
      </c>
      <c r="D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E29" s="5" t="inlineStr">
        <is>
          <t>The student wants to provide an example of one of Catlett’s sculptures. Which choice most effectively uses relevant information from the notes to accomplish this goal?</t>
        </is>
      </c>
      <c r="F29" s="5" t="inlineStr">
        <is>
          <t>A. Lựa chọn A
B. Lựa chọn B
C. Lựa chọn C
D. Lựa chọn D</t>
        </is>
      </c>
      <c r="G29" s="14" t="n"/>
      <c r="H29" s="7">
        <f>IF(ISBLANK(G29), "⏳ Chờ đáp án", IF(UPPER(TRIM(G29))="B", "✅ Đúng", "❌ Sai"))</f>
        <v/>
      </c>
      <c r="I29" s="14" t="n"/>
      <c r="J29" s="7">
        <f>IF(ISBLANK(I29), "", IF(UPPER(TRIM(I29))="B", "✅ Đúng", "❌ Sai"))</f>
        <v/>
      </c>
      <c r="K29" s="14" t="n"/>
      <c r="L29" s="7">
        <f>IF(ISBLANK(K29), "", IF(UPPER(TRIM(K29))="B", "✅ Đúng", "❌ Sai"))</f>
        <v/>
      </c>
      <c r="M29" s="7">
        <f>COUNTIF(H29, "❌ Sai") + COUNTIF(J29, "❌ Sai") + COUNTIF(L29, "❌ Sai")</f>
        <v/>
      </c>
      <c r="N29" s="7">
        <f>IF(ISBLANK(G29), "⏳ Chờ làm", IF(H29="✅ Đúng", "✅ Đúng ngay L1", IF(J29="✅ Đúng", "✅ Đúng ở L2", IF(L29="✅ Đúng", "✅ Đúng ở L3", "❌ Chưa đúng sau 3 lần"))))</f>
        <v/>
      </c>
      <c r="O29" s="13">
        <f>IF(ISBLANK(F29), "💡 Nhập đáp án vào Lần thử 1", IF(G29="✅ Đúng", "✨ Xuất sắc! Bạn đã làm đúng.", "💡 Gợi ý: " &amp; "Tập trung vào từ khóa chỉ đối tượng hoặc khía cạnh cụ thể mà đề bài yêu cầu người học nhấn mạnh."))</f>
        <v/>
      </c>
      <c r="P29" s="5">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Q29" s="5">
        <f>IF(OR(H29="✅ Đúng", J29="✅ Đúng", L29="✅ Đúng"), "Đọc kĩ yêu cầu cụ thể của đề bài: 'example of one of Catlett's sculptures'.", "🔒 Trả lời đúng để mở khóa Strategic Tip!")</f>
        <v/>
      </c>
    </row>
    <row r="30" ht="15.75" customHeight="1" s="19">
      <c r="A30" s="7" t="inlineStr">
        <is>
          <t>M26</t>
        </is>
      </c>
      <c r="B30" s="7" t="inlineStr">
        <is>
          <t>Reading &amp; Writing Module 1</t>
        </is>
      </c>
      <c r="C30" s="5" t="inlineStr">
        <is>
          <t>Rhetorical Synthesis / Student Notes</t>
        </is>
      </c>
      <c r="D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E30" s="5" t="inlineStr">
        <is>
          <t>The student wants to emphasize the 2020 population of Chapantongo. Which choice most effectively uses relevant information from the notes to accomplish this goal?</t>
        </is>
      </c>
      <c r="F30" s="5" t="inlineStr">
        <is>
          <t>A. Lựa chọn A
B. Lựa chọn B
C. Lựa chọn C
D. Lựa chọn D</t>
        </is>
      </c>
      <c r="G30" s="14" t="n"/>
      <c r="H30" s="7">
        <f>IF(ISBLANK(G30), "⏳ Chờ đáp án", IF(UPPER(TRIM(G30))="B", "✅ Đúng", "❌ Sai"))</f>
        <v/>
      </c>
      <c r="I30" s="14" t="n"/>
      <c r="J30" s="7">
        <f>IF(ISBLANK(I30), "", IF(UPPER(TRIM(I30))="B", "✅ Đúng", "❌ Sai"))</f>
        <v/>
      </c>
      <c r="K30" s="14" t="n"/>
      <c r="L30" s="7">
        <f>IF(ISBLANK(K30), "", IF(UPPER(TRIM(K30))="B", "✅ Đúng", "❌ Sai"))</f>
        <v/>
      </c>
      <c r="M30" s="7">
        <f>COUNTIF(H30, "❌ Sai") + COUNTIF(J30, "❌ Sai") + COUNTIF(L30, "❌ Sai")</f>
        <v/>
      </c>
      <c r="N30" s="7">
        <f>IF(ISBLANK(G30), "⏳ Chờ làm", IF(H30="✅ Đúng", "✅ Đúng ngay L1", IF(J30="✅ Đúng", "✅ Đúng ở L2", IF(L30="✅ Đúng", "✅ Đúng ở L3", "❌ Chưa đúng sau 3 lần"))))</f>
        <v/>
      </c>
      <c r="O30" s="13">
        <f>IF(ISBLANK(F30), "💡 Nhập đáp án vào Lần thử 1", IF(G30="✅ Đúng", "✨ Xuất sắc! Bạn đã làm đúng.", "💡 Gợi ý: " &amp; "So sánh các lựa chọn với các thông tin trong ghi chú để chọn câu tổng hợp đầy đủ và chính xác nhất."))</f>
        <v/>
      </c>
      <c r="P30" s="5">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Q30" s="5">
        <f>IF(OR(H30="✅ Đúng", J30="✅ Đúng", L30="✅ Đúng"), "Đáp án phải chứa thông tin được yêu cầu làm trọng tâm: 2020 population = 12,967.", "🔒 Trả lời đúng để mở khóa Strategic Tip!")</f>
        <v/>
      </c>
    </row>
    <row r="31" ht="15.75" customHeight="1" s="19">
      <c r="A31" s="7" t="inlineStr">
        <is>
          <t>M27</t>
        </is>
      </c>
      <c r="B31" s="7" t="inlineStr">
        <is>
          <t>Reading &amp; Writing Module 1</t>
        </is>
      </c>
      <c r="C31" s="5" t="inlineStr">
        <is>
          <t>Rhetorical Synthesis / Student Notes</t>
        </is>
      </c>
      <c r="D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E31" s="5" t="inlineStr">
        <is>
          <t>The student wants to explain what Svetlana Boym writes about in chapter 8. Which choice most effectively uses relevant information from the notes to accomplish this goal?</t>
        </is>
      </c>
      <c r="F31" s="5" t="inlineStr">
        <is>
          <t>A. Lựa chọn A
B. Lựa chọn B
C. Lựa chọn C
D. Lựa chọn D</t>
        </is>
      </c>
      <c r="G31" s="14" t="n"/>
      <c r="H31" s="7">
        <f>IF(ISBLANK(G31), "⏳ Chờ đáp án", IF(UPPER(TRIM(G31))="C", "✅ Đúng", "❌ Sai"))</f>
        <v/>
      </c>
      <c r="I31" s="14" t="n"/>
      <c r="J31" s="7">
        <f>IF(ISBLANK(I31), "", IF(UPPER(TRIM(I31))="C", "✅ Đúng", "❌ Sai"))</f>
        <v/>
      </c>
      <c r="K31" s="14" t="n"/>
      <c r="L31" s="7">
        <f>IF(ISBLANK(K31), "", IF(UPPER(TRIM(K31))="C", "✅ Đúng", "❌ Sai"))</f>
        <v/>
      </c>
      <c r="M31" s="7">
        <f>COUNTIF(H31, "❌ Sai") + COUNTIF(J31, "❌ Sai") + COUNTIF(L31, "❌ Sai")</f>
        <v/>
      </c>
      <c r="N31" s="7">
        <f>IF(ISBLANK(G31), "⏳ Chờ làm", IF(H31="✅ Đúng", "✅ Đúng ngay L1", IF(J31="✅ Đúng", "✅ Đúng ở L2", IF(L31="✅ Đúng", "✅ Đúng ở L3", "❌ Chưa đúng sau 3 lần"))))</f>
        <v/>
      </c>
      <c r="O31" s="13">
        <f>IF(ISBLANK(F31), "💡 Nhập đáp án vào Lần thử 1", IF(G31="✅ Đúng", "✨ Xuất sắc! Bạn đã làm đúng.", "💡 Gợi ý: " &amp; "Xác định mục tiêu đề bài (ví dụ: giới thiệu tác phẩm, so sánh hai nghiên cứu) để chọn ghi chú phù hợp."))</f>
        <v/>
      </c>
      <c r="P31" s="5">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Q31" s="5">
        <f>IF(OR(H31="✅ Đúng", J31="✅ Đúng", L31="✅ Đúng"), "Chỉ chọn phương án trả lời đúng mục tiêu 'explain what Boym writes in chapter 8'.", "🔒 Trả lời đúng để mở khóa Strategic Tip!")</f>
        <v/>
      </c>
    </row>
    <row r="32" ht="15.75" customHeight="1" s="19">
      <c r="A32" s="7" t="inlineStr">
        <is>
          <t>M28</t>
        </is>
      </c>
      <c r="B32" s="7" t="inlineStr">
        <is>
          <t>Reading &amp; Writing Module 2</t>
        </is>
      </c>
      <c r="C32" s="5" t="inlineStr">
        <is>
          <t>Vocabulary in Context (Interplay)</t>
        </is>
      </c>
      <c r="D32"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E32" s="5" t="inlineStr">
        <is>
          <t>Which choice completes the text with the most logical and precise word or phrase?</t>
        </is>
      </c>
      <c r="F32" s="5" t="inlineStr">
        <is>
          <t>A. Lựa chọn A
B. Lựa chọn B
C. Lựa chọn C
D. Lựa chọn D</t>
        </is>
      </c>
      <c r="G32" s="14" t="n"/>
      <c r="H32" s="7">
        <f>IF(ISBLANK(G32), "⏳ Chờ đáp án", IF(UPPER(TRIM(G32))="D", "✅ Đúng", "❌ Sai"))</f>
        <v/>
      </c>
      <c r="I32" s="14" t="n"/>
      <c r="J32" s="7">
        <f>IF(ISBLANK(I32), "", IF(UPPER(TRIM(I32))="D", "✅ Đúng", "❌ Sai"))</f>
        <v/>
      </c>
      <c r="K32" s="14" t="n"/>
      <c r="L32" s="7">
        <f>IF(ISBLANK(K32), "", IF(UPPER(TRIM(K32))="D", "✅ Đúng", "❌ Sai"))</f>
        <v/>
      </c>
      <c r="M32" s="7">
        <f>COUNTIF(H32, "❌ Sai") + COUNTIF(J32, "❌ Sai") + COUNTIF(L32, "❌ Sai")</f>
        <v/>
      </c>
      <c r="N32" s="7">
        <f>IF(ISBLANK(G32), "⏳ Chờ làm", IF(H32="✅ Đúng", "✅ Đúng ngay L1", IF(J32="✅ Đúng", "✅ Đúng ở L2", IF(L32="✅ Đúng", "✅ Đúng ở L3", "❌ Chưa đúng sau 3 lần"))))</f>
        <v/>
      </c>
      <c r="O32" s="13">
        <f>IF(ISBLANK(F32), "💡 Nhập đáp án vào Lần thử 1", IF(G32="✅ Đúng", "✨ Xuất sắc! Bạn đã làm đúng.", "💡 Gợi ý: " &amp; "Xem xét sự tác động qua lại giữa các yếu tố được nêu trong văn bản để chọn từ thể hiện mối quan hệ này."))</f>
        <v/>
      </c>
      <c r="P32" s="5">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Q32" s="5">
        <f>IF(OR(H32="✅ Đúng", J32="✅ Đúng", L32="✅ Đúng"), "Interplay = the way in which two or more things have an effect on each other.", "🔒 Trả lời đúng để mở khóa Strategic Tip!")</f>
        <v/>
      </c>
    </row>
    <row r="33" ht="15.75" customHeight="1" s="19">
      <c r="A33" s="7" t="inlineStr">
        <is>
          <t>M29</t>
        </is>
      </c>
      <c r="B33" s="7" t="inlineStr">
        <is>
          <t>Reading &amp; Writing Module 2</t>
        </is>
      </c>
      <c r="C33" s="5" t="inlineStr">
        <is>
          <t>Vocabulary in Context (Efficiency &amp; Output)</t>
        </is>
      </c>
      <c r="D33"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E33" s="5" t="inlineStr">
        <is>
          <t>Which choice completes the text with the most logical and precise word or phrase?</t>
        </is>
      </c>
      <c r="F33" s="5" t="inlineStr">
        <is>
          <t>A. Lựa chọn A
B. Lựa chọn B
C. Lựa chọn C
D. Lựa chọn D</t>
        </is>
      </c>
      <c r="G33" s="14" t="n"/>
      <c r="H33" s="7">
        <f>IF(ISBLANK(G33), "⏳ Chờ đáp án", IF(UPPER(TRIM(G33))="A", "✅ Đúng", "❌ Sai"))</f>
        <v/>
      </c>
      <c r="I33" s="14" t="n"/>
      <c r="J33" s="7">
        <f>IF(ISBLANK(I33), "", IF(UPPER(TRIM(I33))="A", "✅ Đúng", "❌ Sai"))</f>
        <v/>
      </c>
      <c r="K33" s="14" t="n"/>
      <c r="L33" s="7">
        <f>IF(ISBLANK(K33), "", IF(UPPER(TRIM(K33))="A", "✅ Đúng", "❌ Sai"))</f>
        <v/>
      </c>
      <c r="M33" s="7">
        <f>COUNTIF(H33, "❌ Sai") + COUNTIF(J33, "❌ Sai") + COUNTIF(L33, "❌ Sai")</f>
        <v/>
      </c>
      <c r="N33" s="7">
        <f>IF(ISBLANK(G33), "⏳ Chờ làm", IF(H33="✅ Đúng", "✅ Đúng ngay L1", IF(J33="✅ Đúng", "✅ Đúng ở L2", IF(L33="✅ Đúng", "✅ Đúng ở L3", "❌ Chưa đúng sau 3 lần"))))</f>
        <v/>
      </c>
      <c r="O33" s="13">
        <f>IF(ISBLANK(F33), "💡 Nhập đáp án vào Lần thử 1", IF(G33="✅ Đúng", "✨ Xuất sắc! Bạn đã làm đúng.", "💡 Gợi ý: " &amp; "Chú ý đến bối cảnh vận chuyển/xử lý hàng hóa và chọn từ thể hiện chỉ số đo lường hiệu suất tương ứng."))</f>
        <v/>
      </c>
      <c r="P33" s="5">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Q33" s="5">
        <f>IF(OR(H33="✅ Đúng", J33="✅ Đúng", L33="✅ Đúng"), "Throughput = the amount of material or items passing through a system or process.", "🔒 Trả lời đúng để mở khóa Strategic Tip!")</f>
        <v/>
      </c>
    </row>
    <row r="34" ht="15.75" customHeight="1" s="19">
      <c r="A34" s="7" t="inlineStr">
        <is>
          <t>M30</t>
        </is>
      </c>
      <c r="B34" s="7" t="inlineStr">
        <is>
          <t>Reading &amp; Writing Module 2</t>
        </is>
      </c>
      <c r="C34" s="5" t="inlineStr">
        <is>
          <t>Vocabulary in Context (Parameters)</t>
        </is>
      </c>
      <c r="D34"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E34" s="5" t="inlineStr">
        <is>
          <t>Which choice completes the text with the most logical and precise word or phrase?</t>
        </is>
      </c>
      <c r="F34" s="5" t="inlineStr">
        <is>
          <t>A. Lựa chọn A
B. Lựa chọn B
C. Lựa chọn C
D. Lựa chọn D</t>
        </is>
      </c>
      <c r="G34" s="14" t="n"/>
      <c r="H34" s="7">
        <f>IF(ISBLANK(G34), "⏳ Chờ đáp án", IF(UPPER(TRIM(G34))="C", "✅ Đúng", "❌ Sai"))</f>
        <v/>
      </c>
      <c r="I34" s="14" t="n"/>
      <c r="J34" s="7">
        <f>IF(ISBLANK(I34), "", IF(UPPER(TRIM(I34))="C", "✅ Đúng", "❌ Sai"))</f>
        <v/>
      </c>
      <c r="K34" s="14" t="n"/>
      <c r="L34" s="7">
        <f>IF(ISBLANK(K34), "", IF(UPPER(TRIM(K34))="C", "✅ Đúng", "❌ Sai"))</f>
        <v/>
      </c>
      <c r="M34" s="7">
        <f>COUNTIF(H34, "❌ Sai") + COUNTIF(J34, "❌ Sai") + COUNTIF(L34, "❌ Sai")</f>
        <v/>
      </c>
      <c r="N34" s="7">
        <f>IF(ISBLANK(G34), "⏳ Chờ làm", IF(H34="✅ Đúng", "✅ Đúng ngay L1", IF(J34="✅ Đúng", "✅ Đúng ở L2", IF(L34="✅ Đúng", "✅ Đúng ở L3", "❌ Chưa đúng sau 3 lần"))))</f>
        <v/>
      </c>
      <c r="O34" s="13">
        <f>IF(ISBLANK(F34), "💡 Nhập đáp án vào Lần thử 1", IF(G34="✅ Đúng", "✨ Xuất sắc! Bạn đã làm đúng.", "💡 Gợi ý: " &amp; "Xác định xem các thông số đầu vào được miêu tả mang tính chất định tính hay định lượng để chọn từ phù hợp."))</f>
        <v/>
      </c>
      <c r="P34" s="5">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Q34" s="5">
        <f>IF(OR(H34="✅ Đúng", J34="✅ Đúng", L34="✅ Đúng"), "Parameters = numerical or other measurable factors forming sets that define a system.", "🔒 Trả lời đúng để mở khóa Strategic Tip!")</f>
        <v/>
      </c>
    </row>
    <row r="35" ht="15.75" customHeight="1" s="19">
      <c r="A35" s="7" t="inlineStr">
        <is>
          <t>M31</t>
        </is>
      </c>
      <c r="B35" s="7" t="inlineStr">
        <is>
          <t>Reading &amp; Writing Module 2</t>
        </is>
      </c>
      <c r="C35" s="5" t="inlineStr">
        <is>
          <t>Vocabulary in Context (Cautions &amp; Warnings)</t>
        </is>
      </c>
      <c r="D35"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E35" s="5" t="inlineStr">
        <is>
          <t>Which choice completes the text with the most logical and precise word or phrase?</t>
        </is>
      </c>
      <c r="F35" s="5" t="inlineStr">
        <is>
          <t>A. Lựa chọn A
B. Lựa chọn B
C. Lựa chọn C
D. Lựa chọn D</t>
        </is>
      </c>
      <c r="G35" s="14" t="n"/>
      <c r="H35" s="7">
        <f>IF(ISBLANK(G35), "⏳ Chờ đáp án", IF(UPPER(TRIM(G35))="B", "✅ Đúng", "❌ Sai"))</f>
        <v/>
      </c>
      <c r="I35" s="14" t="n"/>
      <c r="J35" s="7">
        <f>IF(ISBLANK(I35), "", IF(UPPER(TRIM(I35))="B", "✅ Đúng", "❌ Sai"))</f>
        <v/>
      </c>
      <c r="K35" s="14" t="n"/>
      <c r="L35" s="7">
        <f>IF(ISBLANK(K35), "", IF(UPPER(TRIM(K35))="B", "✅ Đúng", "❌ Sai"))</f>
        <v/>
      </c>
      <c r="M35" s="7">
        <f>COUNTIF(H35, "❌ Sai") + COUNTIF(J35, "❌ Sai") + COUNTIF(L35, "❌ Sai")</f>
        <v/>
      </c>
      <c r="N35" s="7">
        <f>IF(ISBLANK(G35), "⏳ Chờ làm", IF(H35="✅ Đúng", "✅ Đúng ngay L1", IF(J35="✅ Đúng", "✅ Đúng ở L2", IF(L35="✅ Đúng", "✅ Đúng ở L3", "❌ Chưa đúng sau 3 lần"))))</f>
        <v/>
      </c>
      <c r="O35" s="13">
        <f>IF(ISBLANK(F35), "💡 Nhập đáp án vào Lần thử 1", IF(G35="✅ Đúng", "✨ Xuất sắc! Bạn đã làm đúng.", "💡 Gợi ý: " &amp; "Đọc kỹ sắc thái câu văn để chọn từ mang tính nhắc nhở hoặc cảnh báo phù hợp với bối cảnh quyền lực."))</f>
        <v/>
      </c>
      <c r="P35" s="5">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Q35" s="5">
        <f>IF(OR(H35="✅ Đúng", J35="✅ Đúng", L35="✅ Đúng"), "Admonitions = firm warnings or reprimands.", "🔒 Trả lời đúng để mở khóa Strategic Tip!")</f>
        <v/>
      </c>
    </row>
    <row r="36" ht="15.75" customHeight="1" s="19">
      <c r="A36" s="7" t="inlineStr">
        <is>
          <t>M32</t>
        </is>
      </c>
      <c r="B36" s="7" t="inlineStr">
        <is>
          <t>Reading &amp; Writing Module 2</t>
        </is>
      </c>
      <c r="C36" s="5" t="inlineStr">
        <is>
          <t>Sentence Function &amp; Text Structure</t>
        </is>
      </c>
      <c r="D36"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E36" s="5" t="inlineStr">
        <is>
          <t>Which choice best describes the function of the underlined sentence in the text as a whole?</t>
        </is>
      </c>
      <c r="F36" s="5" t="inlineStr">
        <is>
          <t>A. Lựa chọn A
B. Lựa chọn B
C. Lựa chọn C
D. Lựa chọn D</t>
        </is>
      </c>
      <c r="G36" s="14" t="n"/>
      <c r="H36" s="7">
        <f>IF(ISBLANK(G36), "⏳ Chờ đáp án", IF(UPPER(TRIM(G36))="A", "✅ Đúng", "❌ Sai"))</f>
        <v/>
      </c>
      <c r="I36" s="14" t="n"/>
      <c r="J36" s="7">
        <f>IF(ISBLANK(I36), "", IF(UPPER(TRIM(I36))="A", "✅ Đúng", "❌ Sai"))</f>
        <v/>
      </c>
      <c r="K36" s="14" t="n"/>
      <c r="L36" s="7">
        <f>IF(ISBLANK(K36), "", IF(UPPER(TRIM(K36))="A", "✅ Đúng", "❌ Sai"))</f>
        <v/>
      </c>
      <c r="M36" s="7">
        <f>COUNTIF(H36, "❌ Sai") + COUNTIF(J36, "❌ Sai") + COUNTIF(L36, "❌ Sai")</f>
        <v/>
      </c>
      <c r="N36" s="7">
        <f>IF(ISBLANK(G36), "⏳ Chờ làm", IF(H36="✅ Đúng", "✅ Đúng ngay L1", IF(J36="✅ Đúng", "✅ Đúng ở L2", IF(L36="✅ Đúng", "✅ Đúng ở L3", "❌ Chưa đúng sau 3 lần"))))</f>
        <v/>
      </c>
      <c r="O36" s="13">
        <f>IF(ISBLANK(F36), "💡 Nhập đáp án vào Lần thử 1", IF(G36="✅ Đúng", "✨ Xuất sắc! Bạn đã làm đúng.", "💡 Gợi ý: " &amp; "Xác định vai trò của câu gạch chân trong việc liên kết ý trước và ý sau của đoạn văn."))</f>
        <v/>
      </c>
      <c r="P36" s="5">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Q36" s="5">
        <f>IF(OR(H36="✅ Đúng", J36="✅ Đúng", L36="✅ Đúng"), "Xác định vai trò tu từ: Trình bày hiện tượng dẫn tới kết quả theo sau.", "🔒 Trả lời đúng để mở khóa Strategic Tip!")</f>
        <v/>
      </c>
    </row>
    <row r="37" ht="15.75" customHeight="1" s="19">
      <c r="A37" s="7" t="inlineStr">
        <is>
          <t>M33</t>
        </is>
      </c>
      <c r="B37" s="7" t="inlineStr">
        <is>
          <t>Reading &amp; Writing Module 2</t>
        </is>
      </c>
      <c r="C37" s="5" t="inlineStr">
        <is>
          <t>Text Structure &amp; Overall Purpose</t>
        </is>
      </c>
      <c r="D37"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E37" s="5" t="inlineStr">
        <is>
          <t>Which choice best describes the overall structure of the text?</t>
        </is>
      </c>
      <c r="F37" s="5" t="inlineStr">
        <is>
          <t>A. Lựa chọn A
B. Lựa chọn B
C. Lựa chọn C
D. Lựa chọn D</t>
        </is>
      </c>
      <c r="G37" s="14" t="n"/>
      <c r="H37" s="7">
        <f>IF(ISBLANK(G37), "⏳ Chờ đáp án", IF(UPPER(TRIM(G37))="D", "✅ Đúng", "❌ Sai"))</f>
        <v/>
      </c>
      <c r="I37" s="14" t="n"/>
      <c r="J37" s="7">
        <f>IF(ISBLANK(I37), "", IF(UPPER(TRIM(I37))="D", "✅ Đúng", "❌ Sai"))</f>
        <v/>
      </c>
      <c r="K37" s="14" t="n"/>
      <c r="L37" s="7">
        <f>IF(ISBLANK(K37), "", IF(UPPER(TRIM(K37))="D", "✅ Đúng", "❌ Sai"))</f>
        <v/>
      </c>
      <c r="M37" s="7">
        <f>COUNTIF(H37, "❌ Sai") + COUNTIF(J37, "❌ Sai") + COUNTIF(L37, "❌ Sai")</f>
        <v/>
      </c>
      <c r="N37" s="7">
        <f>IF(ISBLANK(G37), "⏳ Chờ làm", IF(H37="✅ Đúng", "✅ Đúng ngay L1", IF(J37="✅ Đúng", "✅ Đúng ở L2", IF(L37="✅ Đúng", "✅ Đúng ở L3", "❌ Chưa đúng sau 3 lần"))))</f>
        <v/>
      </c>
      <c r="O37" s="13">
        <f>IF(ISBLANK(F37), "💡 Nhập đáp án vào Lần thử 1", IF(G37="✅ Đúng", "✨ Xuất sắc! Bạn đã làm đúng.", "💡 Gợi ý: " &amp; "Phân tích bố cục bài đọc từ việc đặt vấn đề, đưa ra bằng chứng cho đến kết luận chung."))</f>
        <v/>
      </c>
      <c r="P37" s="5">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Q37" s="5">
        <f>IF(OR(H37="✅ Đúng", J37="✅ Đúng", L37="✅ Đúng"), "Mô hình cấu trúc: Define -&gt; Describe Formation -&gt; Provide Specific Landmark Example.", "🔒 Trả lời đúng để mở khóa Strategic Tip!")</f>
        <v/>
      </c>
    </row>
    <row r="38" ht="15.75" customHeight="1" s="19">
      <c r="A38" s="7" t="inlineStr">
        <is>
          <t>M34</t>
        </is>
      </c>
      <c r="B38" s="7" t="inlineStr">
        <is>
          <t>Reading &amp; Writing Module 2</t>
        </is>
      </c>
      <c r="C38" s="5" t="inlineStr">
        <is>
          <t>Cross-Text Comparison (Paired Passages)</t>
        </is>
      </c>
      <c r="D38"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E38" s="5" t="inlineStr">
        <is>
          <t>Which choice best describes a notable difference in how the references to palm trees function in Text 1 and Text 2?</t>
        </is>
      </c>
      <c r="F38" s="5" t="inlineStr">
        <is>
          <t>A. Lựa chọn A
B. Lựa chọn B
C. Lựa chọn C
D. Lựa chọn D</t>
        </is>
      </c>
      <c r="G38" s="14" t="n"/>
      <c r="H38" s="7">
        <f>IF(ISBLANK(G38), "⏳ Chờ đáp án", IF(UPPER(TRIM(G38))="D", "✅ Đúng", "❌ Sai"))</f>
        <v/>
      </c>
      <c r="I38" s="14" t="n"/>
      <c r="J38" s="7">
        <f>IF(ISBLANK(I38), "", IF(UPPER(TRIM(I38))="D", "✅ Đúng", "❌ Sai"))</f>
        <v/>
      </c>
      <c r="K38" s="14" t="n"/>
      <c r="L38" s="7">
        <f>IF(ISBLANK(K38), "", IF(UPPER(TRIM(K38))="D", "✅ Đúng", "❌ Sai"))</f>
        <v/>
      </c>
      <c r="M38" s="7">
        <f>COUNTIF(H38, "❌ Sai") + COUNTIF(J38, "❌ Sai") + COUNTIF(L38, "❌ Sai")</f>
        <v/>
      </c>
      <c r="N38" s="7">
        <f>IF(ISBLANK(G38), "⏳ Chờ làm", IF(H38="✅ Đúng", "✅ Đúng ngay L1", IF(J38="✅ Đúng", "✅ Đúng ở L2", IF(L38="✅ Đúng", "✅ Đúng ở L3", "❌ Chưa đúng sau 3 lần"))))</f>
        <v/>
      </c>
      <c r="O38" s="13">
        <f>IF(ISBLANK(F38), "💡 Nhập đáp án vào Lần thử 1", IF(G38="✅ Đúng", "✨ Xuất sắc! Bạn đã làm đúng.", "💡 Gợi ý: " &amp; "So sánh quan điểm của hai tác giả về cùng một chủ đề để tìm ra điểm tương đồng hoặc khác biệt."))</f>
        <v/>
      </c>
      <c r="P38" s="5">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Q38" s="5">
        <f>IF(OR(H38="✅ Đúng", J38="✅ Đúng", L38="✅ Đúng"), "So sánh hai thái độ/góc nhìn của hai tác giả đối với cùng một hình ảnh.", "🔒 Trả lời đúng để mở khóa Strategic Tip!")</f>
        <v/>
      </c>
    </row>
    <row r="39" ht="15.75" customHeight="1" s="19">
      <c r="A39" s="7" t="inlineStr">
        <is>
          <t>M35</t>
        </is>
      </c>
      <c r="B39" s="7" t="inlineStr">
        <is>
          <t>Reading &amp; Writing Module 2</t>
        </is>
      </c>
      <c r="C39" s="5" t="inlineStr">
        <is>
          <t>Main Idea (Vernacular Riddles)</t>
        </is>
      </c>
      <c r="D39"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E39" s="5" t="inlineStr">
        <is>
          <t>Which choice best states the main idea of the text?</t>
        </is>
      </c>
      <c r="F39" s="5" t="inlineStr">
        <is>
          <t>A. Lựa chọn A
B. Lựa chọn B
C. Lựa chọn C
D. Lựa chọn D</t>
        </is>
      </c>
      <c r="G39" s="14" t="n"/>
      <c r="H39" s="7">
        <f>IF(ISBLANK(G39), "⏳ Chờ đáp án", IF(UPPER(TRIM(G39))="B", "✅ Đúng", "❌ Sai"))</f>
        <v/>
      </c>
      <c r="I39" s="14" t="n"/>
      <c r="J39" s="7">
        <f>IF(ISBLANK(I39), "", IF(UPPER(TRIM(I39))="B", "✅ Đúng", "❌ Sai"))</f>
        <v/>
      </c>
      <c r="K39" s="14" t="n"/>
      <c r="L39" s="7">
        <f>IF(ISBLANK(K39), "", IF(UPPER(TRIM(K39))="B", "✅ Đúng", "❌ Sai"))</f>
        <v/>
      </c>
      <c r="M39" s="7">
        <f>COUNTIF(H39, "❌ Sai") + COUNTIF(J39, "❌ Sai") + COUNTIF(L39, "❌ Sai")</f>
        <v/>
      </c>
      <c r="N39" s="7">
        <f>IF(ISBLANK(G39), "⏳ Chờ làm", IF(H39="✅ Đúng", "✅ Đúng ngay L1", IF(J39="✅ Đúng", "✅ Đúng ở L2", IF(L39="✅ Đúng", "✅ Đúng ở L3", "❌ Chưa đúng sau 3 lần"))))</f>
        <v/>
      </c>
      <c r="O39" s="13">
        <f>IF(ISBLANK(F39), "💡 Nhập đáp án vào Lần thử 1", IF(G39="✅ Đúng", "✨ Xuất sắc! Bạn đã làm đúng.", "💡 Gợi ý: " &amp; "Tập trung vào ý tưởng chủ đạo xuyên suốt các câu thơ/đoạn văn thay vì các hình ảnh miêu tả chi tiết."))</f>
        <v/>
      </c>
      <c r="P39" s="5">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Q39" s="5">
        <f>IF(OR(H39="✅ Đúng", J39="✅ Đúng", L39="✅ Đúng"), "Main Point = Evidence of performance context vs. Modern passive reading.", "🔒 Trả lời đúng để mở khóa Strategic Tip!")</f>
        <v/>
      </c>
    </row>
    <row r="40" ht="15.75" customHeight="1" s="19">
      <c r="A40" s="7" t="inlineStr">
        <is>
          <t>M36</t>
        </is>
      </c>
      <c r="B40" s="7" t="inlineStr">
        <is>
          <t>Reading &amp; Writing Module 2</t>
        </is>
      </c>
      <c r="C40" s="5" t="inlineStr">
        <is>
          <t>Inference / Textual Evidence</t>
        </is>
      </c>
      <c r="D40"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E40" s="5" t="inlineStr">
        <is>
          <t>Information in the text best supports which statement about the consonant s?</t>
        </is>
      </c>
      <c r="F40" s="5" t="inlineStr">
        <is>
          <t>A. Lựa chọn A
B. Lựa chọn B
C. Lựa chọn C
D. Lựa chọn D</t>
        </is>
      </c>
      <c r="G40" s="14" t="n"/>
      <c r="H40" s="7">
        <f>IF(ISBLANK(G40), "⏳ Chờ đáp án", IF(UPPER(TRIM(G40))="D", "✅ Đúng", "❌ Sai"))</f>
        <v/>
      </c>
      <c r="I40" s="14" t="n"/>
      <c r="J40" s="7">
        <f>IF(ISBLANK(I40), "", IF(UPPER(TRIM(I40))="D", "✅ Đúng", "❌ Sai"))</f>
        <v/>
      </c>
      <c r="K40" s="14" t="n"/>
      <c r="L40" s="7">
        <f>IF(ISBLANK(K40), "", IF(UPPER(TRIM(K40))="D", "✅ Đúng", "❌ Sai"))</f>
        <v/>
      </c>
      <c r="M40" s="7">
        <f>COUNTIF(H40, "❌ Sai") + COUNTIF(J40, "❌ Sai") + COUNTIF(L40, "❌ Sai")</f>
        <v/>
      </c>
      <c r="N40" s="7">
        <f>IF(ISBLANK(G40), "⏳ Chờ làm", IF(H40="✅ Đúng", "✅ Đúng ngay L1", IF(J40="✅ Đúng", "✅ Đúng ở L2", IF(L40="✅ Đúng", "✅ Đúng ở L3", "❌ Chưa đúng sau 3 lần"))))</f>
        <v/>
      </c>
      <c r="O40" s="13">
        <f>IF(ISBLANK(F40), "💡 Nhập đáp án vào Lần thử 1", IF(G40="✅ Đúng", "✨ Xuất sắc! Bạn đã làm đúng.", "💡 Gợi ý: " &amp; "Đối chiếu thông tin từ bài đọc với các lựa chọn để tìm suy luận có căn cứ trực tiếp."))</f>
        <v/>
      </c>
      <c r="P40" s="5">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Q40" s="5">
        <f>IF(OR(H40="✅ Đúng", J40="✅ Đúng", L40="✅ Đúng"), "Suy luận trực tiếp từ giả thuyết ảnh hưởng ngôn ngữ Nahuatl.", "🔒 Trả lời đúng để mở khóa Strategic Tip!")</f>
        <v/>
      </c>
    </row>
    <row r="41" ht="15.75" customHeight="1" s="19">
      <c r="A41" s="7" t="inlineStr">
        <is>
          <t>M37</t>
        </is>
      </c>
      <c r="B41" s="7" t="inlineStr">
        <is>
          <t>Reading &amp; Writing Module 2</t>
        </is>
      </c>
      <c r="C41" s="5" t="inlineStr">
        <is>
          <t>Command of Evidence (Cover Crops)</t>
        </is>
      </c>
      <c r="D41"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E41" s="5" t="inlineStr">
        <is>
          <t>Which finding, if true, would be most consistent with Don and his coauthor’s conclusion?</t>
        </is>
      </c>
      <c r="F41" s="5" t="inlineStr">
        <is>
          <t>A. Lựa chọn A
B. Lựa chọn B
C. Lựa chọn C
D. Lựa chọn D</t>
        </is>
      </c>
      <c r="G41" s="14" t="n"/>
      <c r="H41" s="7">
        <f>IF(ISBLANK(G41), "⏳ Chờ đáp án", IF(UPPER(TRIM(G41))="D", "✅ Đúng", "❌ Sai"))</f>
        <v/>
      </c>
      <c r="I41" s="14" t="n"/>
      <c r="J41" s="7">
        <f>IF(ISBLANK(I41), "", IF(UPPER(TRIM(I41))="D", "✅ Đúng", "❌ Sai"))</f>
        <v/>
      </c>
      <c r="K41" s="14" t="n"/>
      <c r="L41" s="7">
        <f>IF(ISBLANK(K41), "", IF(UPPER(TRIM(K41))="D", "✅ Đúng", "❌ Sai"))</f>
        <v/>
      </c>
      <c r="M41" s="7">
        <f>COUNTIF(H41, "❌ Sai") + COUNTIF(J41, "❌ Sai") + COUNTIF(L41, "❌ Sai")</f>
        <v/>
      </c>
      <c r="N41" s="7">
        <f>IF(ISBLANK(G41), "⏳ Chờ làm", IF(H41="✅ Đúng", "✅ Đúng ngay L1", IF(J41="✅ Đúng", "✅ Đúng ở L2", IF(L41="✅ Đúng", "✅ Đúng ở L3", "❌ Chưa đúng sau 3 lần"))))</f>
        <v/>
      </c>
      <c r="O41" s="13">
        <f>IF(ISBLANK(F41), "💡 Nhập đáp án vào Lần thử 1", IF(G41="✅ Đúng", "✨ Xuất sắc! Bạn đã làm đúng.", "💡 Gợi ý: " &amp; "Kiểm tra số liệu bảng biểu để xác định phương án phản ánh đúng xu hướng dữ liệu."))</f>
        <v/>
      </c>
      <c r="P41" s="5">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Q41" s="5">
        <f>IF(OR(H41="✅ Đúng", J41="✅ Đúng", L41="✅ Đúng"), "Consistent with conclusion = Dữ liệu thực tế chứng minh vai trò tăng SOC của cover crops.", "🔒 Trả lời đúng để mở khóa Strategic Tip!")</f>
        <v/>
      </c>
    </row>
    <row r="42" ht="15.75" customHeight="1" s="19">
      <c r="A42" s="7" t="inlineStr">
        <is>
          <t>M38</t>
        </is>
      </c>
      <c r="B42" s="7" t="inlineStr">
        <is>
          <t>Reading &amp; Writing Module 2</t>
        </is>
      </c>
      <c r="C42" s="5" t="inlineStr">
        <is>
          <t>Text Completion / Logical Inference</t>
        </is>
      </c>
      <c r="D42"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E42" s="5" t="inlineStr">
        <is>
          <t>Which choice most logically completes the text?</t>
        </is>
      </c>
      <c r="F42" s="5" t="inlineStr">
        <is>
          <t>A. Lựa chọn A
B. Lựa chọn B
C. Lựa chọn C
D. Lựa chọn D</t>
        </is>
      </c>
      <c r="G42" s="14" t="n"/>
      <c r="H42" s="7">
        <f>IF(ISBLANK(G42), "⏳ Chờ đáp án", IF(UPPER(TRIM(G42))="A", "✅ Đúng", "❌ Sai"))</f>
        <v/>
      </c>
      <c r="I42" s="14" t="n"/>
      <c r="J42" s="7">
        <f>IF(ISBLANK(I42), "", IF(UPPER(TRIM(I42))="A", "✅ Đúng", "❌ Sai"))</f>
        <v/>
      </c>
      <c r="K42" s="14" t="n"/>
      <c r="L42" s="7">
        <f>IF(ISBLANK(K42), "", IF(UPPER(TRIM(K42))="A", "✅ Đúng", "❌ Sai"))</f>
        <v/>
      </c>
      <c r="M42" s="7">
        <f>COUNTIF(H42, "❌ Sai") + COUNTIF(J42, "❌ Sai") + COUNTIF(L42, "❌ Sai")</f>
        <v/>
      </c>
      <c r="N42" s="7">
        <f>IF(ISBLANK(G42), "⏳ Chờ làm", IF(H42="✅ Đúng", "✅ Đúng ngay L1", IF(J42="✅ Đúng", "✅ Đúng ở L2", IF(L42="✅ Đúng", "✅ Đúng ở L3", "❌ Chưa đúng sau 3 lần"))))</f>
        <v/>
      </c>
      <c r="O42" s="13">
        <f>IF(ISBLANK(F42), "💡 Nhập đáp án vào Lần thử 1", IF(G42="✅ Đúng", "✨ Xuất sắc! Bạn đã làm đúng.", "💡 Gợi ý: " &amp; "Đọc câu văn ngay trước chỗ trống để xác định hướng phát triển logic của luận điểm."))</f>
        <v/>
      </c>
      <c r="P42" s="5">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Q42" s="5">
        <f>IF(OR(H42="✅ Đúng", J42="✅ Đúng", L42="✅ Đúng"), "Kết luận hợp logic: Loại hình nội dung khác nhau -&gt; Kích hoạt các vùng não phi ngôn ngữ khác nhau.", "🔒 Trả lời đúng để mở khóa Strategic Tip!")</f>
        <v/>
      </c>
    </row>
    <row r="43" ht="15.75" customHeight="1" s="19">
      <c r="A43" s="7" t="inlineStr">
        <is>
          <t>M39</t>
        </is>
      </c>
      <c r="B43" s="7" t="inlineStr">
        <is>
          <t>Reading &amp; Writing Module 2</t>
        </is>
      </c>
      <c r="C43" s="5" t="inlineStr">
        <is>
          <t>Text Completion / Logic Comparison</t>
        </is>
      </c>
      <c r="D43"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E43" s="5" t="inlineStr">
        <is>
          <t>Which choice most logically completes the text?</t>
        </is>
      </c>
      <c r="F43" s="5" t="inlineStr">
        <is>
          <t>A. Lựa chọn A
B. Lựa chọn B
C. Lựa chọn C
D. Lựa chọn D</t>
        </is>
      </c>
      <c r="G43" s="14" t="n"/>
      <c r="H43" s="7">
        <f>IF(ISBLANK(G43), "⏳ Chờ đáp án", IF(UPPER(TRIM(G43))="D", "✅ Đúng", "❌ Sai"))</f>
        <v/>
      </c>
      <c r="I43" s="14" t="n"/>
      <c r="J43" s="7">
        <f>IF(ISBLANK(I43), "", IF(UPPER(TRIM(I43))="D", "✅ Đúng", "❌ Sai"))</f>
        <v/>
      </c>
      <c r="K43" s="14" t="n"/>
      <c r="L43" s="7">
        <f>IF(ISBLANK(K43), "", IF(UPPER(TRIM(K43))="D", "✅ Đúng", "❌ Sai"))</f>
        <v/>
      </c>
      <c r="M43" s="7">
        <f>COUNTIF(H43, "❌ Sai") + COUNTIF(J43, "❌ Sai") + COUNTIF(L43, "❌ Sai")</f>
        <v/>
      </c>
      <c r="N43" s="7">
        <f>IF(ISBLANK(G43), "⏳ Chờ làm", IF(H43="✅ Đúng", "✅ Đúng ngay L1", IF(J43="✅ Đúng", "✅ Đúng ở L2", IF(L43="✅ Đúng", "✅ Đúng ở L3", "❌ Chưa đúng sau 3 lần"))))</f>
        <v/>
      </c>
      <c r="O43" s="13">
        <f>IF(ISBLANK(F43), "💡 Nhập đáp án vào Lần thử 1", IF(G43="✅ Đúng", "✨ Xuất sắc! Bạn đã làm đúng.", "💡 Gợi ý: " &amp; "Chú ý các từ nối so sánh để chọn câu hoàn thành đúng mối tương quan giữa các đối tượng."))</f>
        <v/>
      </c>
      <c r="P43" s="5">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Q43" s="5">
        <f>IF(OR(H43="✅ Đúng", J43="✅ Đúng", L43="✅ Đúng"), "Ưu điểm của phân tích phân tử: Phân biệt chính xác các loài có hình thái bên ngoài tương đồng.", "🔒 Trả lời đúng để mở khóa Strategic Tip!")</f>
        <v/>
      </c>
    </row>
    <row r="44" ht="15.75" customHeight="1" s="19">
      <c r="A44" s="7" t="inlineStr">
        <is>
          <t>M40</t>
        </is>
      </c>
      <c r="B44" s="7" t="inlineStr">
        <is>
          <t>Reading &amp; Writing Module 2</t>
        </is>
      </c>
      <c r="C44" s="5" t="inlineStr">
        <is>
          <t>Text Completion / Complex Inference</t>
        </is>
      </c>
      <c r="D44"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E44" s="5" t="inlineStr">
        <is>
          <t>Which choice most logically completes the text?</t>
        </is>
      </c>
      <c r="F44" s="5" t="inlineStr">
        <is>
          <t>A. Lựa chọn A
B. Lựa chọn B
C. Lựa chọn C
D. Lựa chọn D</t>
        </is>
      </c>
      <c r="G44" s="14" t="n"/>
      <c r="H44" s="7">
        <f>IF(ISBLANK(G44), "⏳ Chờ đáp án", IF(UPPER(TRIM(G44))="C", "✅ Đúng", "❌ Sai"))</f>
        <v/>
      </c>
      <c r="I44" s="14" t="n"/>
      <c r="J44" s="7">
        <f>IF(ISBLANK(I44), "", IF(UPPER(TRIM(I44))="C", "✅ Đúng", "❌ Sai"))</f>
        <v/>
      </c>
      <c r="K44" s="14" t="n"/>
      <c r="L44" s="7">
        <f>IF(ISBLANK(K44), "", IF(UPPER(TRIM(K44))="C", "✅ Đúng", "❌ Sai"))</f>
        <v/>
      </c>
      <c r="M44" s="7">
        <f>COUNTIF(H44, "❌ Sai") + COUNTIF(J44, "❌ Sai") + COUNTIF(L44, "❌ Sai")</f>
        <v/>
      </c>
      <c r="N44" s="7">
        <f>IF(ISBLANK(G44), "⏳ Chờ làm", IF(H44="✅ Đúng", "✅ Đúng ngay L1", IF(J44="✅ Đúng", "✅ Đúng ở L2", IF(L44="✅ Đúng", "✅ Đúng ở L3", "❌ Chưa đúng sau 3 lần"))))</f>
        <v/>
      </c>
      <c r="O44" s="13">
        <f>IF(ISBLANK(F44), "💡 Nhập đáp án vào Lần thử 1", IF(G44="✅ Đúng", "✨ Xuất sắc! Bạn đã làm đúng.", "💡 Gợi ý: " &amp; "Tổng hợp các dữ kiện trong bài để chọn kết luận logic bảo thủ, tránh suy diễn quá đà."))</f>
        <v/>
      </c>
      <c r="P44" s="5">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Q44" s="5">
        <f>IF(OR(H44="✅ Đúng", J44="✅ Đúng", L44="✅ Đúng"), "Giải thích cơ chế Niche Distinction giúp duy trì sự ổn định sinh thái.", "🔒 Trả lời đúng để mở khóa Strategic Tip!")</f>
        <v/>
      </c>
    </row>
    <row r="45" ht="15.75" customHeight="1" s="19">
      <c r="A45" s="7" t="inlineStr">
        <is>
          <t>M41</t>
        </is>
      </c>
      <c r="B45" s="7" t="inlineStr">
        <is>
          <t>Reading &amp; Writing Module 2</t>
        </is>
      </c>
      <c r="C45" s="5" t="inlineStr">
        <is>
          <t>Standard English Conventions (Modifiers)</t>
        </is>
      </c>
      <c r="D45"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E45" s="5" t="inlineStr">
        <is>
          <t>Which choice completes the text so that it conforms to the conventions of Standard English?</t>
        </is>
      </c>
      <c r="F45" s="5" t="inlineStr">
        <is>
          <t>A. Lựa chọn A
B. Lựa chọn B
C. Lựa chọn C
D. Lựa chọn D</t>
        </is>
      </c>
      <c r="G45" s="14" t="n"/>
      <c r="H45" s="7">
        <f>IF(ISBLANK(G45), "⏳ Chờ đáp án", IF(UPPER(TRIM(G45))="B", "✅ Đúng", "❌ Sai"))</f>
        <v/>
      </c>
      <c r="I45" s="14" t="n"/>
      <c r="J45" s="7">
        <f>IF(ISBLANK(I45), "", IF(UPPER(TRIM(I45))="B", "✅ Đúng", "❌ Sai"))</f>
        <v/>
      </c>
      <c r="K45" s="14" t="n"/>
      <c r="L45" s="7">
        <f>IF(ISBLANK(K45), "", IF(UPPER(TRIM(K45))="B", "✅ Đúng", "❌ Sai"))</f>
        <v/>
      </c>
      <c r="M45" s="7">
        <f>COUNTIF(H45, "❌ Sai") + COUNTIF(J45, "❌ Sai") + COUNTIF(L45, "❌ Sai")</f>
        <v/>
      </c>
      <c r="N45" s="7">
        <f>IF(ISBLANK(G45), "⏳ Chờ làm", IF(H45="✅ Đúng", "✅ Đúng ngay L1", IF(J45="✅ Đúng", "✅ Đúng ở L2", IF(L45="✅ Đúng", "✅ Đúng ở L3", "❌ Chưa đúng sau 3 lần"))))</f>
        <v/>
      </c>
      <c r="O45" s="13">
        <f>IF(ISBLANK(F45), "💡 Nhập đáp án vào Lần thử 1", IF(G45="✅ Đúng", "✨ Xuất sắc! Bạn đã làm đúng.", "💡 Gợi ý: " &amp; "Xác định danh từ đứng ngay sau dấu phẩy để đảm bảo bổ ngữ đầu câu bổ nghĩa đúng đối tượng."))</f>
        <v/>
      </c>
      <c r="P45" s="5">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Q45" s="5">
        <f>IF(OR(H45="✅ Đúng", J45="✅ Đúng", L45="✅ Đúng"), "Bổ ngữ phân từ đầu câu: [Participle Modifier], [Subject + Verb].", "🔒 Trả lời đúng để mở khóa Strategic Tip!")</f>
        <v/>
      </c>
    </row>
    <row r="46" ht="15.75" customHeight="1" s="19">
      <c r="A46" s="7" t="inlineStr">
        <is>
          <t>M42</t>
        </is>
      </c>
      <c r="B46" s="7" t="inlineStr">
        <is>
          <t>Reading &amp; Writing Module 2</t>
        </is>
      </c>
      <c r="C46" s="5" t="inlineStr">
        <is>
          <t>Standard English Conventions (Parallel Lists)</t>
        </is>
      </c>
      <c r="D46"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E46" s="5" t="inlineStr">
        <is>
          <t>Which choice completes the text so that it conforms to the conventions of Standard English?</t>
        </is>
      </c>
      <c r="F46" s="5" t="inlineStr">
        <is>
          <t>A. Lựa chọn A
B. Lựa chọn B
C. Lựa chọn C
D. Lựa chọn D</t>
        </is>
      </c>
      <c r="G46" s="14" t="n"/>
      <c r="H46" s="7">
        <f>IF(ISBLANK(G46), "⏳ Chờ đáp án", IF(UPPER(TRIM(G46))="A", "✅ Đúng", "❌ Sai"))</f>
        <v/>
      </c>
      <c r="I46" s="14" t="n"/>
      <c r="J46" s="7">
        <f>IF(ISBLANK(I46), "", IF(UPPER(TRIM(I46))="A", "✅ Đúng", "❌ Sai"))</f>
        <v/>
      </c>
      <c r="K46" s="14" t="n"/>
      <c r="L46" s="7">
        <f>IF(ISBLANK(K46), "", IF(UPPER(TRIM(K46))="A", "✅ Đúng", "❌ Sai"))</f>
        <v/>
      </c>
      <c r="M46" s="7">
        <f>COUNTIF(H46, "❌ Sai") + COUNTIF(J46, "❌ Sai") + COUNTIF(L46, "❌ Sai")</f>
        <v/>
      </c>
      <c r="N46" s="7">
        <f>IF(ISBLANK(G46), "⏳ Chờ làm", IF(H46="✅ Đúng", "✅ Đúng ngay L1", IF(J46="✅ Đúng", "✅ Đúng ở L2", IF(L46="✅ Đúng", "✅ Đúng ở L3", "❌ Chưa đúng sau 3 lần"))))</f>
        <v/>
      </c>
      <c r="O46" s="13">
        <f>IF(ISBLANK(F46), "💡 Nhập đáp án vào Lần thử 1", IF(G46="✅ Đúng", "✨ Xuất sắc! Bạn đã làm đúng.", "💡 Gợi ý: " &amp; "Kiểm tra tính song song về mặt cấu trúc ngữ pháp giữa các phần tử trong danh sách liệt kê."))</f>
        <v/>
      </c>
      <c r="P46" s="5">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Q46" s="5">
        <f>IF(OR(H46="✅ Đúng", J46="✅ Đúng", L46="✅ Đúng"), "Dùng dấu chấm phẩy (;) phân tách các mục lớn trong danh sách phức tạp.", "🔒 Trả lời đúng để mở khóa Strategic Tip!")</f>
        <v/>
      </c>
    </row>
    <row r="47" ht="15.75" customHeight="1" s="19">
      <c r="A47" s="7" t="inlineStr">
        <is>
          <t>M43</t>
        </is>
      </c>
      <c r="B47" s="7" t="inlineStr">
        <is>
          <t>Reading &amp; Writing Module 2</t>
        </is>
      </c>
      <c r="C47" s="5" t="inlineStr">
        <is>
          <t>Standard English Conventions (Participles)</t>
        </is>
      </c>
      <c r="D47"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E47" s="5" t="inlineStr">
        <is>
          <t>Which choice completes the text so that it conforms to the conventions of Standard English?</t>
        </is>
      </c>
      <c r="F47" s="5" t="inlineStr">
        <is>
          <t>A. Lựa chọn A
B. Lựa chọn B
C. Lựa chọn C
D. Lựa chọn D</t>
        </is>
      </c>
      <c r="G47" s="14" t="n"/>
      <c r="H47" s="7">
        <f>IF(ISBLANK(G47), "⏳ Chờ đáp án", IF(UPPER(TRIM(G47))="C", "✅ Đúng", "❌ Sai"))</f>
        <v/>
      </c>
      <c r="I47" s="14" t="n"/>
      <c r="J47" s="7">
        <f>IF(ISBLANK(I47), "", IF(UPPER(TRIM(I47))="C", "✅ Đúng", "❌ Sai"))</f>
        <v/>
      </c>
      <c r="K47" s="14" t="n"/>
      <c r="L47" s="7">
        <f>IF(ISBLANK(K47), "", IF(UPPER(TRIM(K47))="C", "✅ Đúng", "❌ Sai"))</f>
        <v/>
      </c>
      <c r="M47" s="7">
        <f>COUNTIF(H47, "❌ Sai") + COUNTIF(J47, "❌ Sai") + COUNTIF(L47, "❌ Sai")</f>
        <v/>
      </c>
      <c r="N47" s="7">
        <f>IF(ISBLANK(G47), "⏳ Chờ làm", IF(H47="✅ Đúng", "✅ Đúng ngay L1", IF(J47="✅ Đúng", "✅ Đúng ở L2", IF(L47="✅ Đúng", "✅ Đúng ở L3", "❌ Chưa đúng sau 3 lần"))))</f>
        <v/>
      </c>
      <c r="O47" s="13">
        <f>IF(ISBLANK(F47), "💡 Nhập đáp án vào Lần thử 1", IF(G47="✅ Đúng", "✨ Xuất sắc! Bạn đã làm đúng.", "💡 Gợi ý: " &amp; "Phân biệt giữa hiện tại phân từ (-ing) và quá khứ phân từ (-ed) dựa trên tính chủ động/bị động."))</f>
        <v/>
      </c>
      <c r="P47" s="5">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Q47" s="5">
        <f>IF(OR(H47="✅ Đúng", J47="✅ Đúng", L47="✅ Đúng"), "Rút gọn mệnh đề quan hệ chủ động: archaeologists who were seeking -&gt; archaeologists seeking.", "🔒 Trả lời đúng để mở khóa Strategic Tip!")</f>
        <v/>
      </c>
    </row>
    <row r="48" ht="15.75" customHeight="1" s="19">
      <c r="A48" s="7" t="inlineStr">
        <is>
          <t>M44</t>
        </is>
      </c>
      <c r="B48" s="7" t="inlineStr">
        <is>
          <t>Reading &amp; Writing Module 2</t>
        </is>
      </c>
      <c r="C48" s="5" t="inlineStr">
        <is>
          <t>Standard English Conventions (Punctuation Dashes)</t>
        </is>
      </c>
      <c r="D48"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E48" s="5" t="inlineStr">
        <is>
          <t>Which choice completes the text so that it conforms to the conventions of Standard English?</t>
        </is>
      </c>
      <c r="F48" s="5" t="inlineStr">
        <is>
          <t>A. Lựa chọn A
B. Lựa chọn B
C. Lựa chọn C
D. Lựa chọn D</t>
        </is>
      </c>
      <c r="G48" s="14" t="n"/>
      <c r="H48" s="7">
        <f>IF(ISBLANK(G48), "⏳ Chờ đáp án", IF(UPPER(TRIM(G48))="D", "✅ Đúng", "❌ Sai"))</f>
        <v/>
      </c>
      <c r="I48" s="14" t="n"/>
      <c r="J48" s="7">
        <f>IF(ISBLANK(I48), "", IF(UPPER(TRIM(I48))="D", "✅ Đúng", "❌ Sai"))</f>
        <v/>
      </c>
      <c r="K48" s="14" t="n"/>
      <c r="L48" s="7">
        <f>IF(ISBLANK(K48), "", IF(UPPER(TRIM(K48))="D", "✅ Đúng", "❌ Sai"))</f>
        <v/>
      </c>
      <c r="M48" s="7">
        <f>COUNTIF(H48, "❌ Sai") + COUNTIF(J48, "❌ Sai") + COUNTIF(L48, "❌ Sai")</f>
        <v/>
      </c>
      <c r="N48" s="7">
        <f>IF(ISBLANK(G48), "⏳ Chờ làm", IF(H48="✅ Đúng", "✅ Đúng ngay L1", IF(J48="✅ Đúng", "✅ Đúng ở L2", IF(L48="✅ Đúng", "✅ Đúng ở L3", "❌ Chưa đúng sau 3 lần"))))</f>
        <v/>
      </c>
      <c r="O48" s="13">
        <f>IF(ISBLANK(F48), "💡 Nhập đáp án vào Lần thử 1", IF(G48="✅ Đúng", "✨ Xuất sắc! Bạn đã làm đúng.", "💡 Gợi ý: " &amp; "Chú ý cấu trúc cặp dấu gạch ngang hoặc dấu phẩy bao quanh mệnh đề chú giải."))</f>
        <v/>
      </c>
      <c r="P48" s="5">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Q48" s="5">
        <f>IF(OR(H48="✅ Đúng", J48="✅ Đúng", L48="✅ Đúng"), "Dấu gạch ngang đơn dùng để nhấn mạnh cụm từ bổ nghĩa ở cuối câu.", "🔒 Trả lời đúng để mở khóa Strategic Tip!")</f>
        <v/>
      </c>
    </row>
    <row r="49" ht="15.75" customHeight="1" s="19">
      <c r="A49" s="7" t="inlineStr">
        <is>
          <t>M45</t>
        </is>
      </c>
      <c r="B49" s="7" t="inlineStr">
        <is>
          <t>Reading &amp; Writing Module 2</t>
        </is>
      </c>
      <c r="C49" s="5" t="inlineStr">
        <is>
          <t>Standard English Conventions (Punctuation &amp; Prepositional Phrases)</t>
        </is>
      </c>
      <c r="D49" s="5" t="inlineStr">
        <is>
          <t>During the late nineteenth century, agricultural chemist George Washington Carver revolutionized farming practices in the American ______ promoting systematic crop rotation techniques that replenished essential nitrogen in depleted soils.</t>
        </is>
      </c>
      <c r="E49" s="5" t="inlineStr">
        <is>
          <t>Which choice completes the text so that it conforms to the conventions of Standard English?</t>
        </is>
      </c>
      <c r="F49" s="5" t="inlineStr">
        <is>
          <t>A. South, by
B. South by
C. South; by
D. South: by</t>
        </is>
      </c>
      <c r="G49" s="14" t="n"/>
      <c r="H49" s="7">
        <f>IF(ISBLANK(G49), "⏳ Chờ đáp án", IF(UPPER(TRIM(G49))="B", "✅ Đúng", "❌ Sai"))</f>
        <v/>
      </c>
      <c r="I49" s="14" t="n"/>
      <c r="J49" s="7">
        <f>IF(ISBLANK(I49), "", IF(UPPER(TRIM(I49))="B", "✅ Đúng", "❌ Sai"))</f>
        <v/>
      </c>
      <c r="K49" s="14" t="n"/>
      <c r="L49" s="7">
        <f>IF(ISBLANK(K49), "", IF(UPPER(TRIM(K49))="B", "✅ Đúng", "❌ Sai"))</f>
        <v/>
      </c>
      <c r="M49" s="7">
        <f>COUNTIF(H49, "❌ Sai") + COUNTIF(J49, "❌ Sai") + COUNTIF(L49, "❌ Sai")</f>
        <v/>
      </c>
      <c r="N49" s="7">
        <f>IF(ISBLANK(G49), "⏳ Chờ làm", IF(H49="✅ Đúng", "✅ Đúng ngay L1", IF(J49="✅ Đúng", "✅ Đúng ở L2", IF(L49="✅ Đúng", "✅ Đúng ở L3", "❌ Chưa đúng sau 3 lần"))))</f>
        <v/>
      </c>
      <c r="O49" s="13">
        <f>IF(ISBLANK(F49), "💡 Nhập đáp án vào Lần thử 1", IF(G49="✅ Đúng", "✨ Xuất sắc! Bạn đã làm đúng.", "💡 Gợi ý: " &amp; "Chọn giới từ đúng đi kèm với động từ/tính từ theo thói quen sử dụng chuẩn (collocation)."))</f>
        <v/>
      </c>
      <c r="P49" s="5">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Q49" s="5">
        <f>IF(OR(H49="✅ Đúng", J49="✅ Đúng", L49="✅ Đúng"), "Không đặt dấu phẩy ngăn cách trực tiếp trước giới từ chỉ phương thức.", "🔒 Trả lời đúng để mở khóa Strategic Tip!")</f>
        <v/>
      </c>
    </row>
    <row r="50" ht="15.75" customHeight="1" s="19">
      <c r="A50" s="7" t="inlineStr">
        <is>
          <t>M46</t>
        </is>
      </c>
      <c r="B50" s="7" t="inlineStr">
        <is>
          <t>Reading &amp; Writing Module 2</t>
        </is>
      </c>
      <c r="C50" s="5" t="inlineStr">
        <is>
          <t>Standard English Conventions (Boundaries &amp; Sentence Structure)</t>
        </is>
      </c>
      <c r="D50"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E50" s="5" t="inlineStr">
        <is>
          <t>Which choice completes the text so that it conforms to the conventions of Standard English?</t>
        </is>
      </c>
      <c r="F50" s="5" t="inlineStr">
        <is>
          <t>A. star). Occurring
B. star) occurring
C. star) and occurring
D. star), occurring</t>
        </is>
      </c>
      <c r="G50" s="14" t="n"/>
      <c r="H50" s="7">
        <f>IF(ISBLANK(G50), "⏳ Chờ đáp án", IF(UPPER(TRIM(G50))="A", "✅ Đúng", "❌ Sai"))</f>
        <v/>
      </c>
      <c r="I50" s="14" t="n"/>
      <c r="J50" s="7">
        <f>IF(ISBLANK(I50), "", IF(UPPER(TRIM(I50))="A", "✅ Đúng", "❌ Sai"))</f>
        <v/>
      </c>
      <c r="K50" s="14" t="n"/>
      <c r="L50" s="7">
        <f>IF(ISBLANK(K50), "", IF(UPPER(TRIM(K50))="A", "✅ Đúng", "❌ Sai"))</f>
        <v/>
      </c>
      <c r="M50" s="7">
        <f>COUNTIF(H50, "❌ Sai") + COUNTIF(J50, "❌ Sai") + COUNTIF(L50, "❌ Sai")</f>
        <v/>
      </c>
      <c r="N50" s="7">
        <f>IF(ISBLANK(G50), "⏳ Chờ làm", IF(H50="✅ Đúng", "✅ Đúng ngay L1", IF(J50="✅ Đúng", "✅ Đúng ở L2", IF(L50="✅ Đúng", "✅ Đúng ở L3", "❌ Chưa đúng sau 3 lần"))))</f>
        <v/>
      </c>
      <c r="O50" s="13">
        <f>IF(ISBLANK(F50), "💡 Nhập đáp án vào Lần thử 1", IF(G50="✅ Đúng", "✨ Xuất sắc! Bạn đã làm đúng.", "💡 Gợi ý: " &amp; "Xác định xem danh từ cần phân từ đóng vai trò chủ thể thực hiện hay đối tượng chịu tác động."))</f>
        <v/>
      </c>
      <c r="P50" s="5">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Q50" s="5">
        <f>IF(OR(H50="✅ Đúng", J50="✅ Đúng", L50="✅ Đúng"), "Tránh lỗi Comma Splice bằng cách kết thúc câu bằng dấu chấm.", "🔒 Trả lời đúng để mở khóa Strategic Tip!")</f>
        <v/>
      </c>
    </row>
    <row r="51" ht="15.75" customHeight="1" s="19">
      <c r="A51" s="7" t="inlineStr">
        <is>
          <t>M47</t>
        </is>
      </c>
      <c r="B51" s="7" t="inlineStr">
        <is>
          <t>Reading &amp; Writing Module 2</t>
        </is>
      </c>
      <c r="C51" s="5" t="inlineStr">
        <is>
          <t>Standard English Conventions (Dangling &amp; Misplaced Modifiers)</t>
        </is>
      </c>
      <c r="D51" s="5" t="inlineStr">
        <is>
          <t>Originating during the Cretaceous period, ______</t>
        </is>
      </c>
      <c r="E51" s="5" t="inlineStr">
        <is>
          <t>Which choice completes the text so that it conforms to the conventions of Standard English?</t>
        </is>
      </c>
      <c r="F51" s="5" t="inlineStr">
        <is>
          <t>A. entomologists have extensively examined fossilized resin deposits excavated in northern Myanmar.
B. the fossilized amber specimens excavated in northern Myanmar preserve unprecedented anatomical details of early arthropods.
C. paleontological excavation in northern Myanmar has uncovered numerous ancient arthropods.
D. arthropods were trapped and entombed within sticky conifer secretions.</t>
        </is>
      </c>
      <c r="G51" s="14" t="n"/>
      <c r="H51" s="7">
        <f>IF(ISBLANK(G51), "⏳ Chờ đáp án", IF(UPPER(TRIM(G51))="B", "✅ Đúng", "❌ Sai"))</f>
        <v/>
      </c>
      <c r="I51" s="14" t="n"/>
      <c r="J51" s="7">
        <f>IF(ISBLANK(I51), "", IF(UPPER(TRIM(I51))="B", "✅ Đúng", "❌ Sai"))</f>
        <v/>
      </c>
      <c r="K51" s="14" t="n"/>
      <c r="L51" s="7">
        <f>IF(ISBLANK(K51), "", IF(UPPER(TRIM(K51))="B", "✅ Đúng", "❌ Sai"))</f>
        <v/>
      </c>
      <c r="M51" s="7">
        <f>COUNTIF(H51, "❌ Sai") + COUNTIF(J51, "❌ Sai") + COUNTIF(L51, "❌ Sai")</f>
        <v/>
      </c>
      <c r="N51" s="7">
        <f>IF(ISBLANK(G51), "⏳ Chờ làm", IF(H51="✅ Đúng", "✅ Đúng ngay L1", IF(J51="✅ Đúng", "✅ Đúng ở L2", IF(L51="✅ Đúng", "✅ Đúng ở L3", "❌ Chưa đúng sau 3 lần"))))</f>
        <v/>
      </c>
      <c r="O51" s="13">
        <f>IF(ISBLANK(F51), "💡 Nhập đáp án vào Lần thử 1", IF(G51="✅ Đúng", "✨ Xuất sắc! Bạn đã làm đúng.", "💡 Gợi ý: " &amp; "Đảm bảo chủ ngữ của mệnh đề chính là entity trực tiếp thực hiện hành động ở cụm mở đầu."))</f>
        <v/>
      </c>
      <c r="P51" s="5">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Q51" s="5">
        <f>IF(OR(H51="✅ Đúng", J51="✅ Đúng", L51="✅ Đúng"), "Bổ ngữ chỉ thời đại/nguồn gốc phải đi liền với danh từ hổ phách/hóa thạch.", "🔒 Trả lời đúng để mở khóa Strategic Tip!")</f>
        <v/>
      </c>
    </row>
    <row r="52" ht="15.75" customHeight="1" s="19">
      <c r="A52" s="7" t="inlineStr">
        <is>
          <t>M48</t>
        </is>
      </c>
      <c r="B52" s="7" t="inlineStr">
        <is>
          <t>Reading &amp; Writing Module 2</t>
        </is>
      </c>
      <c r="C52" s="5" t="inlineStr">
        <is>
          <t>Transitions (Contrast)</t>
        </is>
      </c>
      <c r="D52"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E52" s="5" t="inlineStr">
        <is>
          <t>Which choice completes the text with the most logical transition?</t>
        </is>
      </c>
      <c r="F52" s="5" t="inlineStr">
        <is>
          <t>A. Lựa chọn A
B. Lựa chọn B
C. Lựa chọn C
D. Lựa chọn D</t>
        </is>
      </c>
      <c r="G52" s="14" t="n"/>
      <c r="H52" s="7">
        <f>IF(ISBLANK(G52), "⏳ Chờ đáp án", IF(UPPER(TRIM(G52))="D", "✅ Đúng", "❌ Sai"))</f>
        <v/>
      </c>
      <c r="I52" s="14" t="n"/>
      <c r="J52" s="7">
        <f>IF(ISBLANK(I52), "", IF(UPPER(TRIM(I52))="D", "✅ Đúng", "❌ Sai"))</f>
        <v/>
      </c>
      <c r="K52" s="14" t="n"/>
      <c r="L52" s="7">
        <f>IF(ISBLANK(K52), "", IF(UPPER(TRIM(K52))="D", "✅ Đúng", "❌ Sai"))</f>
        <v/>
      </c>
      <c r="M52" s="7">
        <f>COUNTIF(H52, "❌ Sai") + COUNTIF(J52, "❌ Sai") + COUNTIF(L52, "❌ Sai")</f>
        <v/>
      </c>
      <c r="N52" s="7">
        <f>IF(ISBLANK(G52), "⏳ Chờ làm", IF(H52="✅ Đúng", "✅ Đúng ngay L1", IF(J52="✅ Đúng", "✅ Đúng ở L2", IF(L52="✅ Đúng", "✅ Đúng ở L3", "❌ Chưa đúng sau 3 lần"))))</f>
        <v/>
      </c>
      <c r="O52" s="13">
        <f>IF(ISBLANK(F52), "💡 Nhập đáp án vào Lần thử 1", IF(G52="✅ Đúng", "✨ Xuất sắc! Bạn đã làm đúng.", "💡 Gợi ý: " &amp; "Xác định xem hai câu có mối quan hệ tương phản hay bổ sung ý nghĩa để chọn từ nối phù hợp."))</f>
        <v/>
      </c>
      <c r="P52" s="5">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Q52" s="5">
        <f>IF(OR(H52="✅ Đúng", J52="✅ Đúng", L52="✅ Đúng"), "However = dùng để đối lập giữa giả định chung và phạm vi hẹp thực tế.", "🔒 Trả lời đúng để mở khóa Strategic Tip!")</f>
        <v/>
      </c>
    </row>
    <row r="53" ht="15.75" customHeight="1" s="19">
      <c r="A53" s="7" t="inlineStr">
        <is>
          <t>M49</t>
        </is>
      </c>
      <c r="B53" s="7" t="inlineStr">
        <is>
          <t>Reading &amp; Writing Module 2</t>
        </is>
      </c>
      <c r="C53" s="5" t="inlineStr">
        <is>
          <t>Transitions (Illustration / Exemplification)</t>
        </is>
      </c>
      <c r="D53"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E53" s="5" t="inlineStr">
        <is>
          <t>Which choice completes the text with the most logical transition?</t>
        </is>
      </c>
      <c r="F53" s="5" t="inlineStr">
        <is>
          <t>A. Lựa chọn A
B. Lựa chọn B
C. Lựa chọn C
D. Lựa chọn D</t>
        </is>
      </c>
      <c r="G53" s="14" t="n"/>
      <c r="H53" s="7">
        <f>IF(ISBLANK(G53), "⏳ Chờ đáp án", IF(UPPER(TRIM(G53))="B", "✅ Đúng", "❌ Sai"))</f>
        <v/>
      </c>
      <c r="I53" s="14" t="n"/>
      <c r="J53" s="7">
        <f>IF(ISBLANK(I53), "", IF(UPPER(TRIM(I53))="B", "✅ Đúng", "❌ Sai"))</f>
        <v/>
      </c>
      <c r="K53" s="14" t="n"/>
      <c r="L53" s="7">
        <f>IF(ISBLANK(K53), "", IF(UPPER(TRIM(K53))="B", "✅ Đúng", "❌ Sai"))</f>
        <v/>
      </c>
      <c r="M53" s="7">
        <f>COUNTIF(H53, "❌ Sai") + COUNTIF(J53, "❌ Sai") + COUNTIF(L53, "❌ Sai")</f>
        <v/>
      </c>
      <c r="N53" s="7">
        <f>IF(ISBLANK(G53), "⏳ Chờ làm", IF(H53="✅ Đúng", "✅ Đúng ngay L1", IF(J53="✅ Đúng", "✅ Đúng ở L2", IF(L53="✅ Đúng", "✅ Đúng ở L3", "❌ Chưa đúng sau 3 lần"))))</f>
        <v/>
      </c>
      <c r="O53" s="13">
        <f>IF(ISBLANK(F53), "💡 Nhập đáp án vào Lần thử 1", IF(G53="✅ Đúng", "✨ Xuất sắc! Bạn đã làm đúng.", "💡 Gợi ý: " &amp; "Kiểm tra xem câu sau có phải là một ví dụ cụ thể minh họa cho nhận định ở câu trước hay không."))</f>
        <v/>
      </c>
      <c r="P53" s="5">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Q53" s="5">
        <f>IF(OR(H53="✅ Đúng", J53="✅ Đúng", L53="✅ Đúng"), "Thus = kết luận logic rút ra từ định nghĩa trước đó.", "🔒 Trả lời đúng để mở khóa Strategic Tip!")</f>
        <v/>
      </c>
    </row>
    <row r="54" ht="15.75" customHeight="1" s="19">
      <c r="A54" s="7" t="inlineStr">
        <is>
          <t>M50</t>
        </is>
      </c>
      <c r="B54" s="7" t="inlineStr">
        <is>
          <t>Reading &amp; Writing Module 2</t>
        </is>
      </c>
      <c r="C54" s="5" t="inlineStr">
        <is>
          <t>Transitions (Comparison / Contrast)</t>
        </is>
      </c>
      <c r="D54" s="5" t="inlineStr">
        <is>
          <t>Generally, sleek vehicles are more aerodynamic than bulkier ones. The streamlined nose of the Airbus A350 XWB jet, ______ helps it glide through wind with relative ease, while a boxy pickup truck encounters more wind resistance, making it less aerodynamic.</t>
        </is>
      </c>
      <c r="E54" s="5" t="inlineStr">
        <is>
          <t>Which choice completes the text with the most logical transition?</t>
        </is>
      </c>
      <c r="F54" s="5" t="inlineStr">
        <is>
          <t>A. Lựa chọn A
B. Lựa chọn B
C. Lựa chọn C
D. Lựa chọn D</t>
        </is>
      </c>
      <c r="G54" s="14" t="n"/>
      <c r="H54" s="7">
        <f>IF(ISBLANK(G54), "⏳ Chờ đáp án", IF(UPPER(TRIM(G54))="C", "✅ Đúng", "❌ Sai"))</f>
        <v/>
      </c>
      <c r="I54" s="14" t="n"/>
      <c r="J54" s="7">
        <f>IF(ISBLANK(I54), "", IF(UPPER(TRIM(I54))="C", "✅ Đúng", "❌ Sai"))</f>
        <v/>
      </c>
      <c r="K54" s="14" t="n"/>
      <c r="L54" s="7">
        <f>IF(ISBLANK(K54), "", IF(UPPER(TRIM(K54))="C", "✅ Đúng", "❌ Sai"))</f>
        <v/>
      </c>
      <c r="M54" s="7">
        <f>COUNTIF(H54, "❌ Sai") + COUNTIF(J54, "❌ Sai") + COUNTIF(L54, "❌ Sai")</f>
        <v/>
      </c>
      <c r="N54" s="7">
        <f>IF(ISBLANK(G54), "⏳ Chờ làm", IF(H54="✅ Đúng", "✅ Đúng ngay L1", IF(J54="✅ Đúng", "✅ Đúng ở L2", IF(L54="✅ Đúng", "✅ Đúng ở L3", "❌ Chưa đúng sau 3 lần"))))</f>
        <v/>
      </c>
      <c r="O54" s="13">
        <f>IF(ISBLANK(F54), "💡 Nhập đáp án vào Lần thử 1", IF(G54="✅ Đúng", "✨ Xuất sắc! Bạn đã làm đúng.", "💡 Gợi ý: " &amp; "Phân tích mối tương quan giữa hai phương pháp để chọn từ nối mang ý nghĩa so sánh/đối lập."))</f>
        <v/>
      </c>
      <c r="P54" s="5">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Q54" s="5">
        <f>IF(OR(H54="✅ Đúng", J54="✅ Đúng", L54="✅ Đúng"), "Meanwhile / whereas = nối hai vế đối lập song song.", "🔒 Trả lời đúng để mở khóa Strategic Tip!")</f>
        <v/>
      </c>
    </row>
    <row r="55" ht="15.75" customHeight="1" s="19">
      <c r="A55" s="7" t="inlineStr">
        <is>
          <t>M51</t>
        </is>
      </c>
      <c r="B55" s="7" t="inlineStr">
        <is>
          <t>Reading &amp; Writing Module 2</t>
        </is>
      </c>
      <c r="C55" s="5" t="inlineStr">
        <is>
          <t>Transitions (Emphasis)</t>
        </is>
      </c>
      <c r="D55"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E55" s="5" t="inlineStr">
        <is>
          <t>Which choice completes the text with the most logical transition?</t>
        </is>
      </c>
      <c r="F55" s="5" t="inlineStr">
        <is>
          <t>A. Lựa chọn A
B. Lựa chọn B
C. Lựa chọn C
D. Lựa chọn D</t>
        </is>
      </c>
      <c r="G55" s="14" t="n"/>
      <c r="H55" s="7">
        <f>IF(ISBLANK(G55), "⏳ Chờ đáp án", IF(UPPER(TRIM(G55))="B", "✅ Đúng", "❌ Sai"))</f>
        <v/>
      </c>
      <c r="I55" s="14" t="n"/>
      <c r="J55" s="7">
        <f>IF(ISBLANK(I55), "", IF(UPPER(TRIM(I55))="B", "✅ Đúng", "❌ Sai"))</f>
        <v/>
      </c>
      <c r="K55" s="14" t="n"/>
      <c r="L55" s="7">
        <f>IF(ISBLANK(K55), "", IF(UPPER(TRIM(K55))="B", "✅ Đúng", "❌ Sai"))</f>
        <v/>
      </c>
      <c r="M55" s="7">
        <f>COUNTIF(H55, "❌ Sai") + COUNTIF(J55, "❌ Sai") + COUNTIF(L55, "❌ Sai")</f>
        <v/>
      </c>
      <c r="N55" s="7">
        <f>IF(ISBLANK(G55), "⏳ Chờ làm", IF(H55="✅ Đúng", "✅ Đúng ngay L1", IF(J55="✅ Đúng", "✅ Đúng ở L2", IF(L55="✅ Đúng", "✅ Đúng ở L3", "❌ Chưa đúng sau 3 lần"))))</f>
        <v/>
      </c>
      <c r="O55" s="13">
        <f>IF(ISBLANK(F55), "💡 Nhập đáp án vào Lần thử 1", IF(G55="✅ Đúng", "✨ Xuất sắc! Bạn đã làm đúng.", "💡 Gợi ý: " &amp; "Chọn từ nối thể hiện mức độ nhấn mạnh hoặc khẳng định phù hợp với ngữ cảnh."))</f>
        <v/>
      </c>
      <c r="P55" s="5">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Q55" s="5">
        <f>IF(OR(H55="✅ Đúng", J55="✅ Đúng", L55="✅ Đúng"), "Indeed = dùng để nhấn mạnh/xác nhận thông tin trước.", "🔒 Trả lời đúng để mở khóa Strategic Tip!")</f>
        <v/>
      </c>
    </row>
    <row r="56" ht="15.75" customHeight="1" s="19">
      <c r="A56" s="7" t="inlineStr">
        <is>
          <t>M52</t>
        </is>
      </c>
      <c r="B56" s="7" t="inlineStr">
        <is>
          <t>Reading &amp; Writing Module 2</t>
        </is>
      </c>
      <c r="C56" s="5" t="inlineStr">
        <is>
          <t>Transitions (Contrast &amp; Context)</t>
        </is>
      </c>
      <c r="D56"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E56" s="5" t="inlineStr">
        <is>
          <t>Which choice completes the text with the most logical transition?</t>
        </is>
      </c>
      <c r="F56" s="5" t="inlineStr">
        <is>
          <t>A. Lựa chọn A
B. Lựa chọn B
C. Lựa chọn C
D. Lựa chọn D</t>
        </is>
      </c>
      <c r="G56" s="14" t="n"/>
      <c r="H56" s="7">
        <f>IF(ISBLANK(G56), "⏳ Chờ đáp án", IF(UPPER(TRIM(G56))="B", "✅ Đúng", "❌ Sai"))</f>
        <v/>
      </c>
      <c r="I56" s="14" t="n"/>
      <c r="J56" s="7">
        <f>IF(ISBLANK(I56), "", IF(UPPER(TRIM(I56))="B", "✅ Đúng", "❌ Sai"))</f>
        <v/>
      </c>
      <c r="K56" s="14" t="n"/>
      <c r="L56" s="7">
        <f>IF(ISBLANK(K56), "", IF(UPPER(TRIM(K56))="B", "✅ Đúng", "❌ Sai"))</f>
        <v/>
      </c>
      <c r="M56" s="7">
        <f>COUNTIF(H56, "❌ Sai") + COUNTIF(J56, "❌ Sai") + COUNTIF(L56, "❌ Sai")</f>
        <v/>
      </c>
      <c r="N56" s="7">
        <f>IF(ISBLANK(G56), "⏳ Chờ làm", IF(H56="✅ Đúng", "✅ Đúng ngay L1", IF(J56="✅ Đúng", "✅ Đúng ở L2", IF(L56="✅ Đúng", "✅ Đúng ở L3", "❌ Chưa đúng sau 3 lần"))))</f>
        <v/>
      </c>
      <c r="O56" s="13">
        <f>IF(ISBLANK(F56), "💡 Nhập đáp án vào Lần thử 1", IF(G56="✅ Đúng", "✨ Xuất sắc! Bạn đã làm đúng.", "💡 Gợi ý: " &amp; "Xác định vai trò của câu sau trong việc chuyển tiếp ý tưởng từ bối cảnh sang thực tế."))</f>
        <v/>
      </c>
      <c r="P56" s="5">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Q56" s="5">
        <f>IF(OR(H56="✅ Đúng", J56="✅ Đúng", L56="✅ Đúng"), "Still = tuy nhiên, chuyển hướng sang khía cạnh tích cực khác.", "🔒 Trả lời đúng để mở khóa Strategic Tip!")</f>
        <v/>
      </c>
    </row>
    <row r="57" ht="15.75" customHeight="1" s="19">
      <c r="A57" s="7" t="inlineStr">
        <is>
          <t>M53</t>
        </is>
      </c>
      <c r="B57" s="7" t="inlineStr">
        <is>
          <t>Reading &amp; Writing Module 2</t>
        </is>
      </c>
      <c r="C57" s="5" t="inlineStr">
        <is>
          <t>Rhetorical Synthesis / Student Notes</t>
        </is>
      </c>
      <c r="D57"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E57" s="5" t="inlineStr">
        <is>
          <t>Which choice most effectively uses information from the given sentences to explain the 50 Completers hiking challenge to a new audience?</t>
        </is>
      </c>
      <c r="F57" s="5" t="inlineStr">
        <is>
          <t>A. Lựa chọn A
B. Lựa chọn B
C. Lựa chọn C
D. Lựa chọn D</t>
        </is>
      </c>
      <c r="G57" s="14" t="n"/>
      <c r="H57" s="7">
        <f>IF(ISBLANK(G57), "⏳ Chờ đáp án", IF(UPPER(TRIM(G57))="B", "✅ Đúng", "❌ Sai"))</f>
        <v/>
      </c>
      <c r="I57" s="14" t="n"/>
      <c r="J57" s="7">
        <f>IF(ISBLANK(I57), "", IF(UPPER(TRIM(I57))="B", "✅ Đúng", "❌ Sai"))</f>
        <v/>
      </c>
      <c r="K57" s="14" t="n"/>
      <c r="L57" s="7">
        <f>IF(ISBLANK(K57), "", IF(UPPER(TRIM(K57))="B", "✅ Đúng", "❌ Sai"))</f>
        <v/>
      </c>
      <c r="M57" s="7">
        <f>COUNTIF(H57, "❌ Sai") + COUNTIF(J57, "❌ Sai") + COUNTIF(L57, "❌ Sai")</f>
        <v/>
      </c>
      <c r="N57" s="7">
        <f>IF(ISBLANK(G57), "⏳ Chờ làm", IF(H57="✅ Đúng", "✅ Đúng ngay L1", IF(J57="✅ Đúng", "✅ Đúng ở L2", IF(L57="✅ Đúng", "✅ Đúng ở L3", "❌ Chưa đúng sau 3 lần"))))</f>
        <v/>
      </c>
      <c r="O57" s="13">
        <f>IF(ISBLANK(F57), "💡 Nhập đáp án vào Lần thử 1", IF(G57="✅ Đúng", "✨ Xuất sắc! Bạn đã làm đúng.", "💡 Gợi ý: " &amp; "Đọc kỹ yêu cầu đề bài để chọn câu ghi chú tập trung đúng vào điểm khác biệt chính."))</f>
        <v/>
      </c>
      <c r="P57" s="5">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Q57" s="5">
        <f>IF(OR(H57="✅ Đúng", J57="✅ Đúng", L57="✅ Đúng"), "Giải thích thử thách = Nêu điều kiện hoàn thành + Ví dụ các đỉnh núi.", "🔒 Trả lời đúng để mở khóa Strategic Tip!")</f>
        <v/>
      </c>
    </row>
    <row r="58" ht="15.75" customHeight="1" s="19">
      <c r="A58" s="7" t="inlineStr">
        <is>
          <t>M54</t>
        </is>
      </c>
      <c r="B58" s="7" t="inlineStr">
        <is>
          <t>Reading &amp; Writing Module 2</t>
        </is>
      </c>
      <c r="C58" s="5" t="inlineStr">
        <is>
          <t>Rhetorical Synthesis / Student Notes</t>
        </is>
      </c>
      <c r="D58"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E58" s="5" t="inlineStr">
        <is>
          <t>The student wants to explain why ERW is a superior method for capturing CO2. Which choice most effectively uses relevant information from the notes to accomplish this goal?</t>
        </is>
      </c>
      <c r="F58" s="5" t="inlineStr">
        <is>
          <t>A. Lựa chọn A
B. Lựa chọn B
C. Lựa chọn C
D. Lựa chọn D</t>
        </is>
      </c>
      <c r="G58" s="14" t="n"/>
      <c r="H58" s="7">
        <f>IF(ISBLANK(G58), "⏳ Chờ đáp án", IF(UPPER(TRIM(G58))="B", "✅ Đúng", "❌ Sai"))</f>
        <v/>
      </c>
      <c r="I58" s="14" t="n"/>
      <c r="J58" s="7">
        <f>IF(ISBLANK(I58), "", IF(UPPER(TRIM(I58))="B", "✅ Đúng", "❌ Sai"))</f>
        <v/>
      </c>
      <c r="K58" s="14" t="n"/>
      <c r="L58" s="7">
        <f>IF(ISBLANK(K58), "", IF(UPPER(TRIM(K58))="B", "✅ Đúng", "❌ Sai"))</f>
        <v/>
      </c>
      <c r="M58" s="7">
        <f>COUNTIF(H58, "❌ Sai") + COUNTIF(J58, "❌ Sai") + COUNTIF(L58, "❌ Sai")</f>
        <v/>
      </c>
      <c r="N58" s="7">
        <f>IF(ISBLANK(G58), "⏳ Chờ làm", IF(H58="✅ Đúng", "✅ Đúng ngay L1", IF(J58="✅ Đúng", "✅ Đúng ở L2", IF(L58="✅ Đúng", "✅ Đúng ở L3", "❌ Chưa đúng sau 3 lần"))))</f>
        <v/>
      </c>
      <c r="O58" s="13">
        <f>IF(ISBLANK(F58), "💡 Nhập đáp án vào Lần thử 1", IF(G58="✅ Đúng", "✨ Xuất sắc! Bạn đã làm đúng.", "💡 Gợi ý: " &amp; "Chọn ghi chú đáp ứng trực tiếp mục tiêu của học sinh mà không đưa thêm thông tin ngoài lề."))</f>
        <v/>
      </c>
      <c r="P58" s="5">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Q58" s="5">
        <f>IF(OR(H58="✅ Đúng", J58="✅ Đúng", L58="✅ Đúng"), "Chỉ ra điểm vượt trội trực tiếp: 'low-cost and low-tech alternative'.", "🔒 Trả lời đúng để mở khóa Strategic Tip!")</f>
        <v/>
      </c>
    </row>
    <row r="59" ht="15.75" customHeight="1" s="19">
      <c r="A59" s="7" t="inlineStr">
        <is>
          <t>M55</t>
        </is>
      </c>
      <c r="B59" s="7" t="inlineStr">
        <is>
          <t>Math Module 1</t>
        </is>
      </c>
      <c r="C59" s="5" t="inlineStr">
        <is>
          <t>Linear Functions &amp; Evaluation</t>
        </is>
      </c>
      <c r="D59" s="5" t="inlineStr">
        <is>
          <t>The function h is defined by h(x) = 100x - 50.</t>
        </is>
      </c>
      <c r="E59" s="5" t="inlineStr">
        <is>
          <t>Calculator Allowed. What is the value of h(x) when x = 6?</t>
        </is>
      </c>
      <c r="F59" s="5" t="inlineStr">
        <is>
          <t>A. Lựa chọn A
B. Lựa chọn B
C. Lựa chọn C
D. Lựa chọn D</t>
        </is>
      </c>
      <c r="G59" s="14" t="n"/>
      <c r="H59" s="7">
        <f>IF(ISBLANK(G59), "⏳ Chờ đáp án", IF(UPPER(TRIM(G59))="C", "✅ Đúng", "❌ Sai"))</f>
        <v/>
      </c>
      <c r="I59" s="14" t="n"/>
      <c r="J59" s="7">
        <f>IF(ISBLANK(I59), "", IF(UPPER(TRIM(I59))="C", "✅ Đúng", "❌ Sai"))</f>
        <v/>
      </c>
      <c r="K59" s="14" t="n"/>
      <c r="L59" s="7">
        <f>IF(ISBLANK(K59), "", IF(UPPER(TRIM(K59))="C", "✅ Đúng", "❌ Sai"))</f>
        <v/>
      </c>
      <c r="M59" s="7">
        <f>COUNTIF(H59, "❌ Sai") + COUNTIF(J59, "❌ Sai") + COUNTIF(L59, "❌ Sai")</f>
        <v/>
      </c>
      <c r="N59" s="7">
        <f>IF(ISBLANK(G59), "⏳ Chờ làm", IF(H59="✅ Đúng", "✅ Đúng ngay L1", IF(J59="✅ Đúng", "✅ Đúng ở L2", IF(L59="✅ Đúng", "✅ Đúng ở L3", "❌ Chưa đúng sau 3 lần"))))</f>
        <v/>
      </c>
      <c r="O59" s="13">
        <f>IF(ISBLANK(F59), "💡 Nhập đáp án vào Lần thử 1", IF(G59="✅ Đúng", "✨ Xuất sắc! Bạn đã làm đúng.", "💡 Gợi ý: " &amp; "Thay giá trị x đã cho vào biểu thức hàm số và thực hiện phép tính theo thứ tự ưu tiên."))</f>
        <v/>
      </c>
      <c r="P59" s="5">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Q59" s="5">
        <f>IF(OR(H59="✅ Đúng", J59="✅ Đúng", L59="✅ Đúng"), "Linear Function Evaluation: h(6) = 100(6) - 50 = 550.", "🔒 Trả lời đúng để mở khóa Strategic Tip!")</f>
        <v/>
      </c>
    </row>
    <row r="60" ht="15.75" customHeight="1" s="19">
      <c r="A60" s="7" t="inlineStr">
        <is>
          <t>M56</t>
        </is>
      </c>
      <c r="B60" s="7" t="inlineStr">
        <is>
          <t>Math Module 1</t>
        </is>
      </c>
      <c r="C60" s="5" t="inlineStr">
        <is>
          <t>Linear Graph Interpretation (y-intercept)</t>
        </is>
      </c>
      <c r="D60" s="5" t="inlineStr">
        <is>
          <t>The graph shown gives the estimated value, in dollars, of a mountain bike as a function of the number of months since it was purchased. The line intersects the y-axis at (0, 275).</t>
        </is>
      </c>
      <c r="E60" s="5" t="inlineStr">
        <is>
          <t>Calculator Allowed. What is the best interpretation of the y-intercept of the graph in this context?</t>
        </is>
      </c>
      <c r="F60" s="5" t="inlineStr">
        <is>
          <t>A. Lựa chọn A
B. Lựa chọn B
C. Lựa chọn C
D. Lựa chọn D</t>
        </is>
      </c>
      <c r="G60" s="14" t="n"/>
      <c r="H60" s="7">
        <f>IF(ISBLANK(G60), "⏳ Chờ đáp án", IF(UPPER(TRIM(G60))="A", "✅ Đúng", "❌ Sai"))</f>
        <v/>
      </c>
      <c r="I60" s="14" t="n"/>
      <c r="J60" s="7">
        <f>IF(ISBLANK(I60), "", IF(UPPER(TRIM(I60))="A", "✅ Đúng", "❌ Sai"))</f>
        <v/>
      </c>
      <c r="K60" s="14" t="n"/>
      <c r="L60" s="7">
        <f>IF(ISBLANK(K60), "", IF(UPPER(TRIM(K60))="A", "✅ Đúng", "❌ Sai"))</f>
        <v/>
      </c>
      <c r="M60" s="7">
        <f>COUNTIF(H60, "❌ Sai") + COUNTIF(J60, "❌ Sai") + COUNTIF(L60, "❌ Sai")</f>
        <v/>
      </c>
      <c r="N60" s="7">
        <f>IF(ISBLANK(G60), "⏳ Chờ làm", IF(H60="✅ Đúng", "✅ Đúng ngay L1", IF(J60="✅ Đúng", "✅ Đúng ở L2", IF(L60="✅ Đúng", "✅ Đúng ở L3", "❌ Chưa đúng sau 3 lần"))))</f>
        <v/>
      </c>
      <c r="O60" s="13">
        <f>IF(ISBLANK(F60), "💡 Nhập đáp án vào Lần thử 1", IF(G60="✅ Đúng", "✨ Xuất sắc! Bạn đã làm đúng.", "💡 Gợi ý: " &amp; "Xác định ý nghĩa của tung độ gốc (y-intercept) trên đồ thị ứng với giá trị biến độc lập bằng 0."))</f>
        <v/>
      </c>
      <c r="P60" s="5">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Q60" s="5">
        <f>IF(OR(H60="✅ Đúng", J60="✅ Đúng", L60="✅ Đúng"), "y-intercept (0, b) represents the initial value at time t = 0.", "🔒 Trả lời đúng để mở khóa Strategic Tip!")</f>
        <v/>
      </c>
    </row>
    <row r="61" ht="15.75" customHeight="1" s="19">
      <c r="A61" s="7" t="inlineStr">
        <is>
          <t>M57</t>
        </is>
      </c>
      <c r="B61" s="7" t="inlineStr">
        <is>
          <t>Math Module 1</t>
        </is>
      </c>
      <c r="C61" s="5" t="inlineStr">
        <is>
          <t>Percentages &amp; Basic Calculations</t>
        </is>
      </c>
      <c r="D61" s="5" t="inlineStr">
        <is>
          <t>Out of 200 attempts, 55% were successful.</t>
        </is>
      </c>
      <c r="E61" s="5" t="inlineStr">
        <is>
          <t>Calculator Allowed. How many of these attempts were successful?</t>
        </is>
      </c>
      <c r="F61" s="5" t="inlineStr">
        <is>
          <t>Student-Produced Response (Grid-in)</t>
        </is>
      </c>
      <c r="G61" s="14" t="n"/>
      <c r="H61" s="7">
        <f>IF(ISBLANK(G61), "⏳ Chờ đáp án", IF(UPPER(TRIM(G61))="110", "✅ Đúng", "❌ Sai"))</f>
        <v/>
      </c>
      <c r="I61" s="14" t="n"/>
      <c r="J61" s="7">
        <f>IF(ISBLANK(I61), "", IF(UPPER(TRIM(I61))="110", "✅ Đúng", "❌ Sai"))</f>
        <v/>
      </c>
      <c r="K61" s="14" t="n"/>
      <c r="L61" s="7">
        <f>IF(ISBLANK(K61), "", IF(UPPER(TRIM(K61))="110", "✅ Đúng", "❌ Sai"))</f>
        <v/>
      </c>
      <c r="M61" s="7">
        <f>COUNTIF(H61, "❌ Sai") + COUNTIF(J61, "❌ Sai") + COUNTIF(L61, "❌ Sai")</f>
        <v/>
      </c>
      <c r="N61" s="7">
        <f>IF(ISBLANK(G61), "⏳ Chờ làm", IF(H61="✅ Đúng", "✅ Đúng ngay L1", IF(J61="✅ Đúng", "✅ Đúng ở L2", IF(L61="✅ Đúng", "✅ Đúng ở L3", "❌ Chưa đúng sau 3 lần"))))</f>
        <v/>
      </c>
      <c r="O61" s="13">
        <f>IF(ISBLANK(F61), "💡 Nhập đáp án vào Lần thử 1", IF(G61="✅ Đúng", "✨ Xuất sắc! Bạn đã làm đúng.", "💡 Gợi ý: " &amp; "Sử dụng công thức tính giá trị phần trăm: lấy phần trăm chia cho 100 rồi nhân với tổng số lượng."))</f>
        <v/>
      </c>
      <c r="P61" s="5">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Q61" s="5">
        <f>IF(OR(H61="✅ Đúng", J61="✅ Đúng", L61="✅ Đúng"), "Percent of Total: Number = Percentage * Total = 0.55 * 200 = 110.", "🔒 Trả lời đúng để mở khóa Strategic Tip!")</f>
        <v/>
      </c>
    </row>
    <row r="62" ht="15.75" customHeight="1" s="19">
      <c r="A62" s="7" t="inlineStr">
        <is>
          <t>M58</t>
        </is>
      </c>
      <c r="B62" s="7" t="inlineStr">
        <is>
          <t>Math Module 1</t>
        </is>
      </c>
      <c r="C62" s="5" t="inlineStr">
        <is>
          <t>Equivalent Algebraic Expressions</t>
        </is>
      </c>
      <c r="D62" s="5" t="inlineStr">
        <is>
          <t>Given the expression: 29x^2 + 29.</t>
        </is>
      </c>
      <c r="E62" s="5" t="inlineStr">
        <is>
          <t>Calculator Allowed. Which expression is equivalent to 29x^2 + 29?</t>
        </is>
      </c>
      <c r="F62" s="5" t="inlineStr">
        <is>
          <t>A. Lựa chọn A
B. Lựa chọn B
C. Lựa chọn C
D. Lựa chọn D</t>
        </is>
      </c>
      <c r="G62" s="14" t="n"/>
      <c r="H62" s="7">
        <f>IF(ISBLANK(G62), "⏳ Chờ đáp án", IF(UPPER(TRIM(G62))="A", "✅ Đúng", "❌ Sai"))</f>
        <v/>
      </c>
      <c r="I62" s="14" t="n"/>
      <c r="J62" s="7">
        <f>IF(ISBLANK(I62), "", IF(UPPER(TRIM(I62))="A", "✅ Đúng", "❌ Sai"))</f>
        <v/>
      </c>
      <c r="K62" s="14" t="n"/>
      <c r="L62" s="7">
        <f>IF(ISBLANK(K62), "", IF(UPPER(TRIM(K62))="A", "✅ Đúng", "❌ Sai"))</f>
        <v/>
      </c>
      <c r="M62" s="7">
        <f>COUNTIF(H62, "❌ Sai") + COUNTIF(J62, "❌ Sai") + COUNTIF(L62, "❌ Sai")</f>
        <v/>
      </c>
      <c r="N62" s="7">
        <f>IF(ISBLANK(G62), "⏳ Chờ làm", IF(H62="✅ Đúng", "✅ Đúng ngay L1", IF(J62="✅ Đúng", "✅ Đúng ở L2", IF(L62="✅ Đúng", "✅ Đúng ở L3", "❌ Chưa đúng sau 3 lần"))))</f>
        <v/>
      </c>
      <c r="O62" s="13">
        <f>IF(ISBLANK(F62), "💡 Nhập đáp án vào Lần thử 1", IF(G62="✅ Đúng", "✨ Xuất sắc! Bạn đã làm đúng.", "💡 Gợi ý: " &amp; "Nhóm các số hạng đồng dạng hoặc biến đổi biểu thức theo các quy tắc đại số cơ bản."))</f>
        <v/>
      </c>
      <c r="P62" s="5">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Q62" s="5">
        <f>IF(OR(H62="✅ Đúng", J62="✅ Đúng", L62="✅ Đúng"), "Factoring Out Common Factor: 29x^2 + 29 = 29(x^2 + 1).", "🔒 Trả lời đúng để mở khóa Strategic Tip!")</f>
        <v/>
      </c>
    </row>
    <row r="63" ht="15.75" customHeight="1" s="19">
      <c r="A63" s="7" t="inlineStr">
        <is>
          <t>M59</t>
        </is>
      </c>
      <c r="B63" s="7" t="inlineStr">
        <is>
          <t>Math Module 1</t>
        </is>
      </c>
      <c r="C63" s="5" t="inlineStr">
        <is>
          <t>Solving Linear Equations</t>
        </is>
      </c>
      <c r="D63" s="5" t="inlineStr">
        <is>
          <t>Given the equation: 2(x - 3) = 2(90).</t>
        </is>
      </c>
      <c r="E63" s="5" t="inlineStr">
        <is>
          <t>Calculator Allowed. What is the value of x - 3?</t>
        </is>
      </c>
      <c r="F63" s="5" t="inlineStr">
        <is>
          <t>A. Lựa chọn A
B. Lựa chọn B
C. Lựa chọn C
D. Lựa chọn D</t>
        </is>
      </c>
      <c r="G63" s="14" t="n"/>
      <c r="H63" s="7">
        <f>IF(ISBLANK(G63), "⏳ Chờ đáp án", IF(UPPER(TRIM(G63))="C", "✅ Đúng", "❌ Sai"))</f>
        <v/>
      </c>
      <c r="I63" s="14" t="n"/>
      <c r="J63" s="7">
        <f>IF(ISBLANK(I63), "", IF(UPPER(TRIM(I63))="C", "✅ Đúng", "❌ Sai"))</f>
        <v/>
      </c>
      <c r="K63" s="14" t="n"/>
      <c r="L63" s="7">
        <f>IF(ISBLANK(K63), "", IF(UPPER(TRIM(K63))="C", "✅ Đúng", "❌ Sai"))</f>
        <v/>
      </c>
      <c r="M63" s="7">
        <f>COUNTIF(H63, "❌ Sai") + COUNTIF(J63, "❌ Sai") + COUNTIF(L63, "❌ Sai")</f>
        <v/>
      </c>
      <c r="N63" s="7">
        <f>IF(ISBLANK(G63), "⏳ Chờ làm", IF(H63="✅ Đúng", "✅ Đúng ngay L1", IF(J63="✅ Đúng", "✅ Đúng ở L2", IF(L63="✅ Đúng", "✅ Đúng ở L3", "❌ Chưa đúng sau 3 lần"))))</f>
        <v/>
      </c>
      <c r="O63" s="13">
        <f>IF(ISBLANK(F63), "💡 Nhập đáp án vào Lần thử 1", IF(G63="✅ Đúng", "✨ Xuất sắc! Bạn đã làm đúng.", "💡 Gợi ý: " &amp; "Biến đổi phương trình bằng cách chuyển các số hạng chứa ẩn về một vế và hằng số về vế còn lại."))</f>
        <v/>
      </c>
      <c r="P63" s="5">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Q63" s="5">
        <f>IF(OR(H63="✅ Đúng", J63="✅ Đúng", L63="✅ Đúng"), "Divide both sides by 2 directly: x - 3 = 90.", "🔒 Trả lời đúng để mở khóa Strategic Tip!")</f>
        <v/>
      </c>
    </row>
    <row r="64" ht="15.75" customHeight="1" s="19">
      <c r="A64" s="7" t="inlineStr">
        <is>
          <t>M60</t>
        </is>
      </c>
      <c r="B64" s="7" t="inlineStr">
        <is>
          <t>Math Module 1</t>
        </is>
      </c>
      <c r="C64" s="5" t="inlineStr">
        <is>
          <t>Rates &amp; Unit Conversion</t>
        </is>
      </c>
      <c r="D64" s="5" t="inlineStr">
        <is>
          <t>A commercial water pump drains water from a reservoir at a constant rate of 180 gallons per minute.</t>
        </is>
      </c>
      <c r="E64" s="5" t="inlineStr">
        <is>
          <t>Calculator Allowed. At this rate, how many hours will it take to drain 32,400 gallons of water?</t>
        </is>
      </c>
      <c r="F64" s="5" t="inlineStr">
        <is>
          <t>A. Lựa chọn A
B. Lựa chọn B
C. Lựa chọn C
D. Lựa chọn D</t>
        </is>
      </c>
      <c r="G64" s="14" t="n"/>
      <c r="H64" s="7">
        <f>IF(ISBLANK(G64), "⏳ Chờ đáp án", IF(UPPER(TRIM(G64))="B", "✅ Đúng", "❌ Sai"))</f>
        <v/>
      </c>
      <c r="I64" s="14" t="n"/>
      <c r="J64" s="7">
        <f>IF(ISBLANK(I64), "", IF(UPPER(TRIM(I64))="B", "✅ Đúng", "❌ Sai"))</f>
        <v/>
      </c>
      <c r="K64" s="14" t="n"/>
      <c r="L64" s="7">
        <f>IF(ISBLANK(K64), "", IF(UPPER(TRIM(K64))="B", "✅ Đúng", "❌ Sai"))</f>
        <v/>
      </c>
      <c r="M64" s="7">
        <f>COUNTIF(H64, "❌ Sai") + COUNTIF(J64, "❌ Sai") + COUNTIF(L64, "❌ Sai")</f>
        <v/>
      </c>
      <c r="N64" s="7">
        <f>IF(ISBLANK(G64), "⏳ Chờ làm", IF(H64="✅ Đúng", "✅ Đúng ngay L1", IF(J64="✅ Đúng", "✅ Đúng ở L2", IF(L64="✅ Đúng", "✅ Đúng ở L3", "❌ Chưa đúng sau 3 lần"))))</f>
        <v/>
      </c>
      <c r="O64" s="13">
        <f>IF(ISBLANK(F64), "💡 Nhập đáp án vào Lần thử 1", IF(G64="✅ Đúng", "✨ Xuất sắc! Bạn đã làm đúng.", "💡 Gợi ý: " &amp; "Áp dụng công thức tỉ lệ hoặc chuyển đổi đơn vị đo lường tương ứng để tính toán."))</f>
        <v/>
      </c>
      <c r="P64" s="5">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Q64" s="5">
        <f>IF(OR(H64="✅ Đúng", J64="✅ Đúng", L64="✅ Đúng"), "Time (hours) = Total Gallons / (Rate per min * 60 min/hr) = 32,400 / (180 * 60) = 3.", "🔒 Trả lời đúng để mở khóa Strategic Tip!")</f>
        <v/>
      </c>
    </row>
    <row r="65" ht="15.75" customHeight="1" s="19">
      <c r="A65" s="7" t="inlineStr">
        <is>
          <t>M61</t>
        </is>
      </c>
      <c r="B65" s="7" t="inlineStr">
        <is>
          <t>Math Module 1</t>
        </is>
      </c>
      <c r="C65" s="5" t="inlineStr">
        <is>
          <t>Linear Equations in Two Variables</t>
        </is>
      </c>
      <c r="D65" s="5" t="inlineStr">
        <is>
          <t>The equation 4.57x + 6.08y = 902.07 represents a situation where x is the number of smaller bottles sold and y is the number of larger bottles sold.</t>
        </is>
      </c>
      <c r="E65" s="5" t="inlineStr">
        <is>
          <t>Calculator Allowed. According to the equation, what is the price, in dollars, of each smaller bottle?</t>
        </is>
      </c>
      <c r="F65" s="5" t="inlineStr">
        <is>
          <t>Student-Produced Response (Grid-in)</t>
        </is>
      </c>
      <c r="G65" s="14" t="n"/>
      <c r="H65" s="7">
        <f>IF(ISBLANK(G65), "⏳ Chờ đáp án", IF(UPPER(TRIM(G65))="4.57", "✅ Đúng", "❌ Sai"))</f>
        <v/>
      </c>
      <c r="I65" s="14" t="n"/>
      <c r="J65" s="7">
        <f>IF(ISBLANK(I65), "", IF(UPPER(TRIM(I65))="4.57", "✅ Đúng", "❌ Sai"))</f>
        <v/>
      </c>
      <c r="K65" s="14" t="n"/>
      <c r="L65" s="7">
        <f>IF(ISBLANK(K65), "", IF(UPPER(TRIM(K65))="4.57", "✅ Đúng", "❌ Sai"))</f>
        <v/>
      </c>
      <c r="M65" s="7">
        <f>COUNTIF(H65, "❌ Sai") + COUNTIF(J65, "❌ Sai") + COUNTIF(L65, "❌ Sai")</f>
        <v/>
      </c>
      <c r="N65" s="7">
        <f>IF(ISBLANK(G65), "⏳ Chờ làm", IF(H65="✅ Đúng", "✅ Đúng ngay L1", IF(J65="✅ Đúng", "✅ Đúng ở L2", IF(L65="✅ Đúng", "✅ Đúng ở L3", "❌ Chưa đúng sau 3 lần"))))</f>
        <v/>
      </c>
      <c r="O65" s="13">
        <f>IF(ISBLANK(F65), "💡 Nhập đáp án vào Lần thử 1", IF(G65="✅ Đúng", "✨ Xuất sắc! Bạn đã làm đúng.", "💡 Gợi ý: " &amp; "Lập hệ phương trình hoặc phương trình tuyến tính thể hiện mối quan hệ giữa hai đại lượng."))</f>
        <v/>
      </c>
      <c r="P65" s="5">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Q65" s="5">
        <f>IF(OR(H65="✅ Đúng", J65="✅ Đúng", L65="✅ Đúng"), "In Total Cost = a*x + b*y, the coefficient 'a' represents the price per unit x.", "🔒 Trả lời đúng để mở khóa Strategic Tip!")</f>
        <v/>
      </c>
    </row>
    <row r="66" ht="15.75" customHeight="1" s="19">
      <c r="A66" s="7" t="inlineStr">
        <is>
          <t>M62</t>
        </is>
      </c>
      <c r="B66" s="7" t="inlineStr">
        <is>
          <t>Math Module 1</t>
        </is>
      </c>
      <c r="C66" s="5" t="inlineStr">
        <is>
          <t>Similar Triangles &amp; Proportions</t>
        </is>
      </c>
      <c r="D66" s="5" t="inlineStr">
        <is>
          <t>Triangle ABC is similar to triangle XYZ, where A, B, and C correspond to X, Y, and Z, respectively. In triangle ABC, AB = 180 and BC = 900. In triangle XYZ, YZ = 80.</t>
        </is>
      </c>
      <c r="E66" s="5" t="inlineStr">
        <is>
          <t>Calculator Allowed. What is the length of XY?</t>
        </is>
      </c>
      <c r="F66" s="5" t="inlineStr">
        <is>
          <t>A. Lựa chọn A
B. Lựa chọn B
C. Lựa chọn C
D. Lựa chọn D</t>
        </is>
      </c>
      <c r="G66" s="14" t="n"/>
      <c r="H66" s="7">
        <f>IF(ISBLANK(G66), "⏳ Chờ đáp án", IF(UPPER(TRIM(G66))="D", "✅ Đúng", "❌ Sai"))</f>
        <v/>
      </c>
      <c r="I66" s="14" t="n"/>
      <c r="J66" s="7">
        <f>IF(ISBLANK(I66), "", IF(UPPER(TRIM(I66))="D", "✅ Đúng", "❌ Sai"))</f>
        <v/>
      </c>
      <c r="K66" s="14" t="n"/>
      <c r="L66" s="7">
        <f>IF(ISBLANK(K66), "", IF(UPPER(TRIM(K66))="D", "✅ Đúng", "❌ Sai"))</f>
        <v/>
      </c>
      <c r="M66" s="7">
        <f>COUNTIF(H66, "❌ Sai") + COUNTIF(J66, "❌ Sai") + COUNTIF(L66, "❌ Sai")</f>
        <v/>
      </c>
      <c r="N66" s="7">
        <f>IF(ISBLANK(G66), "⏳ Chờ làm", IF(H66="✅ Đúng", "✅ Đúng ngay L1", IF(J66="✅ Đúng", "✅ Đúng ở L2", IF(L66="✅ Đúng", "✅ Đúng ở L3", "❌ Chưa đúng sau 3 lần"))))</f>
        <v/>
      </c>
      <c r="O66" s="13">
        <f>IF(ISBLANK(F66), "💡 Nhập đáp án vào Lần thử 1", IF(G66="✅ Đúng", "✨ Xuất sắc! Bạn đã làm đúng.", "💡 Gợi ý: " &amp; "Sử dụng tính chất tam giác đồng dạng để lập tỉ lệ giữa các cạnh tương ứng."))</f>
        <v/>
      </c>
      <c r="P66" s="5">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c>
      <c r="Q66" s="5">
        <f>IF(OR(H66="✅ Đúng", J66="✅ Đúng", L66="✅ Đúng"), "Similar Triangles Ratio: AB / XY = BC / YZ =&gt; 180 / XY = 900 / 80 =&gt; XY = 16.", "🔒 Trả lời đúng để mở khóa Strategic Tip!")</f>
        <v/>
      </c>
    </row>
    <row r="67" ht="15.75" customHeight="1" s="19">
      <c r="A67" s="7" t="inlineStr">
        <is>
          <t>M63</t>
        </is>
      </c>
      <c r="B67" s="7" t="inlineStr">
        <is>
          <t>Math Module 1</t>
        </is>
      </c>
      <c r="C67" s="5" t="inlineStr">
        <is>
          <t>Absolute Value Equations</t>
        </is>
      </c>
      <c r="D67" s="5" t="inlineStr">
        <is>
          <t>Given the equation: |x - 43| = 0.</t>
        </is>
      </c>
      <c r="E67" s="5" t="inlineStr">
        <is>
          <t>Calculator Allowed. Which value is a solution to the given equation?</t>
        </is>
      </c>
      <c r="F67" s="5" t="inlineStr">
        <is>
          <t>A. Lựa chọn A
B. Lựa chọn B
C. Lựa chọn C
D. Lựa chọn D</t>
        </is>
      </c>
      <c r="G67" s="14" t="n"/>
      <c r="H67" s="7">
        <f>IF(ISBLANK(G67), "⏳ Chờ đáp án", IF(UPPER(TRIM(G67))="D", "✅ Đúng", "❌ Sai"))</f>
        <v/>
      </c>
      <c r="I67" s="14" t="n"/>
      <c r="J67" s="7">
        <f>IF(ISBLANK(I67), "", IF(UPPER(TRIM(I67))="D", "✅ Đúng", "❌ Sai"))</f>
        <v/>
      </c>
      <c r="K67" s="14" t="n"/>
      <c r="L67" s="7">
        <f>IF(ISBLANK(K67), "", IF(UPPER(TRIM(K67))="D", "✅ Đúng", "❌ Sai"))</f>
        <v/>
      </c>
      <c r="M67" s="7">
        <f>COUNTIF(H67, "❌ Sai") + COUNTIF(J67, "❌ Sai") + COUNTIF(L67, "❌ Sai")</f>
        <v/>
      </c>
      <c r="N67" s="7">
        <f>IF(ISBLANK(G67), "⏳ Chờ làm", IF(H67="✅ Đúng", "✅ Đúng ngay L1", IF(J67="✅ Đúng", "✅ Đúng ở L2", IF(L67="✅ Đúng", "✅ Đúng ở L3", "❌ Chưa đúng sau 3 lần"))))</f>
        <v/>
      </c>
      <c r="O67" s="13">
        <f>IF(ISBLANK(F67), "💡 Nhập đáp án vào Lần thử 1", IF(G67="✅ Đúng", "✨ Xuất sắc! Bạn đã làm đúng.", "💡 Gợi ý: " &amp; "Phân tích phương trình chứa giá trị tuyệt đối thành hai trường hợp tương ứng với dấu dương và âm."))</f>
        <v/>
      </c>
      <c r="P67" s="5">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c>
      <c r="Q67" s="5">
        <f>IF(OR(H67="✅ Đúng", J67="✅ Đúng", L67="✅ Đúng"), "|A| = 0 implies A = 0 =&gt; x = 43.", "🔒 Trả lời đúng để mở khóa Strategic Tip!")</f>
        <v/>
      </c>
    </row>
    <row r="68" ht="15.75" customHeight="1" s="19">
      <c r="A68" s="7" t="inlineStr">
        <is>
          <t>M64</t>
        </is>
      </c>
      <c r="B68" s="7" t="inlineStr">
        <is>
          <t>Math Module 1</t>
        </is>
      </c>
      <c r="C68" s="5" t="inlineStr">
        <is>
          <t>Finding Line Equation from Points</t>
        </is>
      </c>
      <c r="D68" s="5" t="inlineStr">
        <is>
          <t>In the xy-plane, line k passes through the points (0, -8) and (1, -5).</t>
        </is>
      </c>
      <c r="E68" s="5" t="inlineStr">
        <is>
          <t>Calculator Allowed. Which equation defines line k?</t>
        </is>
      </c>
      <c r="F68" s="5" t="inlineStr">
        <is>
          <t>A. Lựa chọn A
B. Lựa chọn B
C. Lựa chọn C
D. Lựa chọn D</t>
        </is>
      </c>
      <c r="G68" s="14" t="n"/>
      <c r="H68" s="7">
        <f>IF(ISBLANK(G68), "⏳ Chờ đáp án", IF(UPPER(TRIM(G68))="C", "✅ Đúng", "❌ Sai"))</f>
        <v/>
      </c>
      <c r="I68" s="14" t="n"/>
      <c r="J68" s="7">
        <f>IF(ISBLANK(I68), "", IF(UPPER(TRIM(I68))="C", "✅ Đúng", "❌ Sai"))</f>
        <v/>
      </c>
      <c r="K68" s="14" t="n"/>
      <c r="L68" s="7">
        <f>IF(ISBLANK(K68), "", IF(UPPER(TRIM(K68))="C", "✅ Đúng", "❌ Sai"))</f>
        <v/>
      </c>
      <c r="M68" s="7">
        <f>COUNTIF(H68, "❌ Sai") + COUNTIF(J68, "❌ Sai") + COUNTIF(L68, "❌ Sai")</f>
        <v/>
      </c>
      <c r="N68" s="7">
        <f>IF(ISBLANK(G68), "⏳ Chờ làm", IF(H68="✅ Đúng", "✅ Đúng ngay L1", IF(J68="✅ Đúng", "✅ Đúng ở L2", IF(L68="✅ Đúng", "✅ Đúng ở L3", "❌ Chưa đúng sau 3 lần"))))</f>
        <v/>
      </c>
      <c r="O68" s="13">
        <f>IF(ISBLANK(F68), "💡 Nhập đáp án vào Lần thử 1", IF(G68="✅ Đúng", "✨ Xuất sắc! Bạn đã làm đúng.", "💡 Gợi ý: " &amp; "Tính hệ số góc m = (y2 - y1)/(x2 - x1) rồi thay tọa độ một điểm vào để tìm phương trình đường thẳng."))</f>
        <v/>
      </c>
      <c r="P68" s="5">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c>
      <c r="Q68" s="5">
        <f>IF(OR(H68="✅ Đúng", J68="✅ Đúng", L68="✅ Đúng"), "Slope m = (y2 - y1)/(x2 - x1) = 3, y-intercept = -8 =&gt; y = 3x - 8.", "🔒 Trả lời đúng để mở khóa Strategic Tip!")</f>
        <v/>
      </c>
    </row>
    <row r="69" ht="15.75" customHeight="1" s="19">
      <c r="A69" s="7" t="inlineStr">
        <is>
          <t>M65</t>
        </is>
      </c>
      <c r="B69" s="7" t="inlineStr">
        <is>
          <t>Math Module 1</t>
        </is>
      </c>
      <c r="C69" s="5" t="inlineStr">
        <is>
          <t>Scatterplot Best-Fit Line Model</t>
        </is>
      </c>
      <c r="D69" s="5" t="inlineStr">
        <is>
          <t>A scatterplot shows data points with a positive slope passing near (0, 0.2) and (4, 9.2).</t>
        </is>
      </c>
      <c r="E69" s="5" t="inlineStr">
        <is>
          <t>Calculator Allowed. Which equation is the most appropriate linear model for the data?</t>
        </is>
      </c>
      <c r="F69" s="5" t="inlineStr">
        <is>
          <t>A. Lựa chọn A
B. Lựa chọn B
C. Lựa chọn C
D. Lựa chọn D</t>
        </is>
      </c>
      <c r="G69" s="14" t="n"/>
      <c r="H69" s="7">
        <f>IF(ISBLANK(G69), "⏳ Chờ đáp án", IF(UPPER(TRIM(G69))="A", "✅ Đúng", "❌ Sai"))</f>
        <v/>
      </c>
      <c r="I69" s="14" t="n"/>
      <c r="J69" s="7">
        <f>IF(ISBLANK(I69), "", IF(UPPER(TRIM(I69))="A", "✅ Đúng", "❌ Sai"))</f>
        <v/>
      </c>
      <c r="K69" s="14" t="n"/>
      <c r="L69" s="7">
        <f>IF(ISBLANK(K69), "", IF(UPPER(TRIM(K69))="A", "✅ Đúng", "❌ Sai"))</f>
        <v/>
      </c>
      <c r="M69" s="7">
        <f>COUNTIF(H69, "❌ Sai") + COUNTIF(J69, "❌ Sai") + COUNTIF(L69, "❌ Sai")</f>
        <v/>
      </c>
      <c r="N69" s="7">
        <f>IF(ISBLANK(G69), "⏳ Chờ làm", IF(H69="✅ Đúng", "✅ Đúng ngay L1", IF(J69="✅ Đúng", "✅ Đúng ở L2", IF(L69="✅ Đúng", "✅ Đúng ở L3", "❌ Chưa đúng sau 3 lần"))))</f>
        <v/>
      </c>
      <c r="O69" s="13">
        <f>IF(ISBLANK(F69), "💡 Nhập đáp án vào Lần thử 1", IF(G69="✅ Đúng", "✨ Xuất sắc! Bạn đã làm đúng.", "💡 Gợi ý: " &amp; "Đọc tọa độ các điểm trên biểu đồ phân tán và kiểm tra độ dốc/tung độ gốc của đường tiệm cận."))</f>
        <v/>
      </c>
      <c r="P69" s="5">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Q69" s="5">
        <f>IF(OR(H69="✅ Đúng", J69="✅ Đúng", L69="✅ Đúng"), "Linear Model: y = b + m*x where b ≈ 0.2 and m ≈ 2.25.", "🔒 Trả lời đúng để mở khóa Strategic Tip!")</f>
        <v/>
      </c>
    </row>
    <row r="70" ht="15.75" customHeight="1" s="19">
      <c r="A70" s="7" t="inlineStr">
        <is>
          <t>M66</t>
        </is>
      </c>
      <c r="B70" s="7" t="inlineStr">
        <is>
          <t>Math Module 1</t>
        </is>
      </c>
      <c r="C70" s="5" t="inlineStr">
        <is>
          <t>Rational Function Intercepts</t>
        </is>
      </c>
      <c r="D70" s="5" t="inlineStr">
        <is>
          <t>Given the function y = (21 - x) / (ax + b), where a and b are positive constants.</t>
        </is>
      </c>
      <c r="E70" s="5" t="inlineStr">
        <is>
          <t>Calculator Allowed. What is the x-intercept of the graph in the xy-plane?</t>
        </is>
      </c>
      <c r="F70" s="5" t="inlineStr">
        <is>
          <t>A. Lựa chọn A
B. Lựa chọn B
C. Lựa chọn C
D. Lựa chọn D</t>
        </is>
      </c>
      <c r="G70" s="14" t="n"/>
      <c r="H70" s="7">
        <f>IF(ISBLANK(G70), "⏳ Chờ đáp án", IF(UPPER(TRIM(G70))="A", "✅ Đúng", "❌ Sai"))</f>
        <v/>
      </c>
      <c r="I70" s="14" t="n"/>
      <c r="J70" s="7">
        <f>IF(ISBLANK(I70), "", IF(UPPER(TRIM(I70))="A", "✅ Đúng", "❌ Sai"))</f>
        <v/>
      </c>
      <c r="K70" s="14" t="n"/>
      <c r="L70" s="7">
        <f>IF(ISBLANK(K70), "", IF(UPPER(TRIM(K70))="A", "✅ Đúng", "❌ Sai"))</f>
        <v/>
      </c>
      <c r="M70" s="7">
        <f>COUNTIF(H70, "❌ Sai") + COUNTIF(J70, "❌ Sai") + COUNTIF(L70, "❌ Sai")</f>
        <v/>
      </c>
      <c r="N70" s="7">
        <f>IF(ISBLANK(G70), "⏳ Chờ làm", IF(H70="✅ Đúng", "✅ Đúng ngay L1", IF(J70="✅ Đúng", "✅ Đúng ở L2", IF(L70="✅ Đúng", "✅ Đúng ở L3", "❌ Chưa đúng sau 3 lần"))))</f>
        <v/>
      </c>
      <c r="O70" s="13">
        <f>IF(ISBLANK(F70), "💡 Nhập đáp án vào Lần thử 1", IF(G70="✅ Đúng", "✨ Xuất sắc! Bạn đã làm đúng.", "💡 Gợi ý: " &amp; "Tìm giao điểm với các trục bằng cách cho x = 0 (tìm y-intercept) hoặc y = 0 (tìm x-intercept)."))</f>
        <v/>
      </c>
      <c r="P70" s="5">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Q70" s="5">
        <f>IF(OR(H70="✅ Đúng", J70="✅ Đúng", L70="✅ Đúng"), "x-intercept occurs when y = 0 =&gt; Numerator 21 - x = 0 =&gt; x = 21.", "🔒 Trả lời đúng để mở khóa Strategic Tip!")</f>
        <v/>
      </c>
    </row>
    <row r="71" ht="15.75" customHeight="1" s="19">
      <c r="A71" s="7" t="inlineStr">
        <is>
          <t>M67</t>
        </is>
      </c>
      <c r="B71" s="7" t="inlineStr">
        <is>
          <t>Math Module 1</t>
        </is>
      </c>
      <c r="C71" s="5" t="inlineStr">
        <is>
          <t>Inequalities &amp; Speed/Distance</t>
        </is>
      </c>
      <c r="D71" s="5" t="inlineStr">
        <is>
          <t>A model estimates that a glacier moves between 17 and 24 centimeters per day.</t>
        </is>
      </c>
      <c r="E71" s="5" t="inlineStr">
        <is>
          <t>Calculator Allowed. Which inequality represents possible values of x, where x is the total distance, in centimeters, the glacier moves in 2 days?</t>
        </is>
      </c>
      <c r="F71" s="5" t="inlineStr">
        <is>
          <t>A. Lựa chọn A
B. Lựa chọn B
C. Lựa chọn C
D. Lựa chọn D</t>
        </is>
      </c>
      <c r="G71" s="14" t="n"/>
      <c r="H71" s="7">
        <f>IF(ISBLANK(G71), "⏳ Chờ đáp án", IF(UPPER(TRIM(G71))="D", "✅ Đúng", "❌ Sai"))</f>
        <v/>
      </c>
      <c r="I71" s="14" t="n"/>
      <c r="J71" s="7">
        <f>IF(ISBLANK(I71), "", IF(UPPER(TRIM(I71))="D", "✅ Đúng", "❌ Sai"))</f>
        <v/>
      </c>
      <c r="K71" s="14" t="n"/>
      <c r="L71" s="7">
        <f>IF(ISBLANK(K71), "", IF(UPPER(TRIM(K71))="D", "✅ Đúng", "❌ Sai"))</f>
        <v/>
      </c>
      <c r="M71" s="7">
        <f>COUNTIF(H71, "❌ Sai") + COUNTIF(J71, "❌ Sai") + COUNTIF(L71, "❌ Sai")</f>
        <v/>
      </c>
      <c r="N71" s="7">
        <f>IF(ISBLANK(G71), "⏳ Chờ làm", IF(H71="✅ Đúng", "✅ Đúng ngay L1", IF(J71="✅ Đúng", "✅ Đúng ở L2", IF(L71="✅ Đúng", "✅ Đúng ở L3", "❌ Chưa đúng sau 3 lần"))))</f>
        <v/>
      </c>
      <c r="O71" s="13">
        <f>IF(ISBLANK(F71), "💡 Nhập đáp án vào Lần thử 1", IF(G71="✅ Đúng", "✨ Xuất sắc! Bạn đã làm đúng.", "💡 Gợi ý: " &amp; "Lập bất phương trình biểu diễn mối quan hệ giữa khoảng cách, vận tốc và thời gian."))</f>
        <v/>
      </c>
      <c r="P71" s="5">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Q71" s="5">
        <f>IF(OR(H71="✅ Đúng", J71="✅ Đúng", L71="✅ Đúng"), "Range for 2 days = [Min rate * 2, Max rate * 2] = [(17)(2), (24)(2)].", "🔒 Trả lời đúng để mở khóa Strategic Tip!")</f>
        <v/>
      </c>
    </row>
    <row r="72" ht="15.75" customHeight="1" s="19">
      <c r="A72" s="7" t="inlineStr">
        <is>
          <t>M68</t>
        </is>
      </c>
      <c r="B72" s="7" t="inlineStr">
        <is>
          <t>Math Module 1</t>
        </is>
      </c>
      <c r="C72" s="5" t="inlineStr">
        <is>
          <t>Unit Conversion (Ancient Units)</t>
        </is>
      </c>
      <c r="D72" s="5" t="inlineStr">
        <is>
          <t>In an ancient Roman measurement system, a leuga was a unit of length equal to 7,500 pedes.</t>
        </is>
      </c>
      <c r="E72" s="5" t="inlineStr">
        <is>
          <t>Calculator Allowed. In this measurement system, how many pedes were equivalent to 4.6 leugas?</t>
        </is>
      </c>
      <c r="F72" s="5" t="inlineStr">
        <is>
          <t>Student-Produced Response (Grid-in)</t>
        </is>
      </c>
      <c r="G72" s="14" t="n"/>
      <c r="H72" s="7">
        <f>IF(ISBLANK(G72), "⏳ Chờ đáp án", IF(UPPER(TRIM(G72))="34500", "✅ Đúng", "❌ Sai"))</f>
        <v/>
      </c>
      <c r="I72" s="14" t="n"/>
      <c r="J72" s="7">
        <f>IF(ISBLANK(I72), "", IF(UPPER(TRIM(I72))="34500", "✅ Đúng", "❌ Sai"))</f>
        <v/>
      </c>
      <c r="K72" s="14" t="n"/>
      <c r="L72" s="7">
        <f>IF(ISBLANK(K72), "", IF(UPPER(TRIM(K72))="34500", "✅ Đúng", "❌ Sai"))</f>
        <v/>
      </c>
      <c r="M72" s="7">
        <f>COUNTIF(H72, "❌ Sai") + COUNTIF(J72, "❌ Sai") + COUNTIF(L72, "❌ Sai")</f>
        <v/>
      </c>
      <c r="N72" s="7">
        <f>IF(ISBLANK(G72), "⏳ Chờ làm", IF(H72="✅ Đúng", "✅ Đúng ngay L1", IF(J72="✅ Đúng", "✅ Đúng ở L2", IF(L72="✅ Đúng", "✅ Đúng ở L3", "❌ Chưa đúng sau 3 lần"))))</f>
        <v/>
      </c>
      <c r="O72" s="13">
        <f>IF(ISBLANK(F72), "💡 Nhập đáp án vào Lần thử 1", IF(G72="✅ Đúng", "✨ Xuất sắc! Bạn đã làm đúng.", "💡 Gợi ý: " &amp; "Áp dụng phương pháp nhân hệ số chuyển đổi dây chuyền để đổi từ đơn vị này sang đơn vị khác."))</f>
        <v/>
      </c>
      <c r="P72" s="5">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c>
      <c r="Q72" s="5">
        <f>IF(OR(H72="✅ Đúng", J72="✅ Đúng", L72="✅ Đúng"), "Unit Conversion: Pedes = 4.6 * 7,500 = 34,500.", "🔒 Trả lời đúng để mở khóa Strategic Tip!")</f>
        <v/>
      </c>
    </row>
    <row r="73" ht="15.75" customHeight="1" s="19">
      <c r="A73" s="7" t="inlineStr">
        <is>
          <t>M69</t>
        </is>
      </c>
      <c r="B73" s="7" t="inlineStr">
        <is>
          <t>Math Module 1</t>
        </is>
      </c>
      <c r="C73" s="5" t="inlineStr">
        <is>
          <t>Geometry (Area &amp; Factoring)</t>
        </is>
      </c>
      <c r="D73" s="5" t="inlineStr">
        <is>
          <t>A rectangle has a width of n yards and a length of (n + 7) yards. The area of the rectangle is 198 square yards.</t>
        </is>
      </c>
      <c r="E73" s="5" t="inlineStr">
        <is>
          <t>Calculator Allowed. What is the value of n?</t>
        </is>
      </c>
      <c r="F73" s="5" t="inlineStr">
        <is>
          <t>Student-Produced Response (Grid-in)</t>
        </is>
      </c>
      <c r="G73" s="14" t="n"/>
      <c r="H73" s="7">
        <f>IF(ISBLANK(G73), "⏳ Chờ đáp án", IF(UPPER(TRIM(G73))="11", "✅ Đúng", "❌ Sai"))</f>
        <v/>
      </c>
      <c r="I73" s="14" t="n"/>
      <c r="J73" s="7">
        <f>IF(ISBLANK(I73), "", IF(UPPER(TRIM(I73))="11", "✅ Đúng", "❌ Sai"))</f>
        <v/>
      </c>
      <c r="K73" s="14" t="n"/>
      <c r="L73" s="7">
        <f>IF(ISBLANK(K73), "", IF(UPPER(TRIM(K73))="11", "✅ Đúng", "❌ Sai"))</f>
        <v/>
      </c>
      <c r="M73" s="7">
        <f>COUNTIF(H73, "❌ Sai") + COUNTIF(J73, "❌ Sai") + COUNTIF(L73, "❌ Sai")</f>
        <v/>
      </c>
      <c r="N73" s="7">
        <f>IF(ISBLANK(G73), "⏳ Chờ làm", IF(H73="✅ Đúng", "✅ Đúng ngay L1", IF(J73="✅ Đúng", "✅ Đúng ở L2", IF(L73="✅ Đúng", "✅ Đúng ở L3", "❌ Chưa đúng sau 3 lần"))))</f>
        <v/>
      </c>
      <c r="O73" s="13">
        <f>IF(ISBLANK(F73), "💡 Nhập đáp án vào Lần thử 1", IF(G73="✅ Đúng", "✨ Xuất sắc! Bạn đã làm đúng.", "💡 Gợi ý: " &amp; "Sử dụng công thức tính diện tích hình học và phân tích đa thức thành nhân tử để tìm chiều dài các cạnh."))</f>
        <v/>
      </c>
      <c r="P73" s="5">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Q73" s="5">
        <f>IF(OR(H73="✅ Đúng", J73="✅ Đúng", L73="✅ Đúng"), "Area = n(n + 7) = 198 =&gt; n = 11 (since 11 * 18 = 198).", "🔒 Trả lời đúng để mở khóa Strategic Tip!")</f>
        <v/>
      </c>
    </row>
    <row r="74" ht="15.75" customHeight="1" s="19">
      <c r="A74" s="7" t="inlineStr">
        <is>
          <t>M70</t>
        </is>
      </c>
      <c r="B74" s="7" t="inlineStr">
        <is>
          <t>Math Module 1</t>
        </is>
      </c>
      <c r="C74" s="5" t="inlineStr">
        <is>
          <t>Rearranging Formulas (Kinetic Energy)</t>
        </is>
      </c>
      <c r="D74" s="5" t="inlineStr">
        <is>
          <t>For an object with a mass of 55 kg, the given equation 55 = 2K / (v^2) relates kinetic energy K to speed v.</t>
        </is>
      </c>
      <c r="E74" s="5" t="inlineStr">
        <is>
          <t>Calculator Allowed. Which equation correctly expresses speed v in terms of K?</t>
        </is>
      </c>
      <c r="F74" s="5" t="inlineStr">
        <is>
          <t>A. Lựa chọn A
B. Lựa chọn B
C. Lựa chọn C
D. Lựa chọn D</t>
        </is>
      </c>
      <c r="G74" s="14" t="n"/>
      <c r="H74" s="7">
        <f>IF(ISBLANK(G74), "⏳ Chờ đáp án", IF(UPPER(TRIM(G74))="D", "✅ Đúng", "❌ Sai"))</f>
        <v/>
      </c>
      <c r="I74" s="14" t="n"/>
      <c r="J74" s="7">
        <f>IF(ISBLANK(I74), "", IF(UPPER(TRIM(I74))="D", "✅ Đúng", "❌ Sai"))</f>
        <v/>
      </c>
      <c r="K74" s="14" t="n"/>
      <c r="L74" s="7">
        <f>IF(ISBLANK(K74), "", IF(UPPER(TRIM(K74))="D", "✅ Đúng", "❌ Sai"))</f>
        <v/>
      </c>
      <c r="M74" s="7">
        <f>COUNTIF(H74, "❌ Sai") + COUNTIF(J74, "❌ Sai") + COUNTIF(L74, "❌ Sai")</f>
        <v/>
      </c>
      <c r="N74" s="7">
        <f>IF(ISBLANK(G74), "⏳ Chờ làm", IF(H74="✅ Đúng", "✅ Đúng ngay L1", IF(J74="✅ Đúng", "✅ Đúng ở L2", IF(L74="✅ Đúng", "✅ Đúng ở L3", "❌ Chưa đúng sau 3 lần"))))</f>
        <v/>
      </c>
      <c r="O74" s="13">
        <f>IF(ISBLANK(F74), "💡 Nhập đáp án vào Lần thử 1", IF(G74="✅ Đúng", "✨ Xuất sắc! Bạn đã làm đúng.", "💡 Gợi ý: " &amp; "Biến đổi đại số để cô lập biến cần tìm về một vế của công thức."))</f>
        <v/>
      </c>
      <c r="P74" s="5">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Q74" s="5">
        <f>IF(OR(H74="✅ Đúng", J74="✅ Đúng", L74="✅ Đúng"), "Isolate v: v^2 = 2K / 55 =&gt; v = sqrt(2K / 55).", "🔒 Trả lời đúng để mở khóa Strategic Tip!")</f>
        <v/>
      </c>
    </row>
    <row r="75" ht="15.75" customHeight="1" s="19">
      <c r="A75" s="7" t="inlineStr">
        <is>
          <t>M71</t>
        </is>
      </c>
      <c r="B75" s="7" t="inlineStr">
        <is>
          <t>Math Module 1</t>
        </is>
      </c>
      <c r="C75" s="5" t="inlineStr">
        <is>
          <t>Exponential Growth Model</t>
        </is>
      </c>
      <c r="D75" s="5" t="inlineStr">
        <is>
          <t>A company's solar cell production grew by approximately 22% each year for 5 years following 2013, starting at 7,138 peak kilowatts in 2013.</t>
        </is>
      </c>
      <c r="E75" s="5" t="inlineStr">
        <is>
          <t>Calculator Allowed. Which function best models the solar cell production C(n) n years after 2013?</t>
        </is>
      </c>
      <c r="F75" s="5" t="inlineStr">
        <is>
          <t>A. Lựa chọn A
B. Lựa chọn B
C. Lựa chọn C
D. Lựa chọn D</t>
        </is>
      </c>
      <c r="G75" s="14" t="n"/>
      <c r="H75" s="7">
        <f>IF(ISBLANK(G75), "⏳ Chờ đáp án", IF(UPPER(TRIM(G75))="B", "✅ Đúng", "❌ Sai"))</f>
        <v/>
      </c>
      <c r="I75" s="14" t="n"/>
      <c r="J75" s="7">
        <f>IF(ISBLANK(I75), "", IF(UPPER(TRIM(I75))="B", "✅ Đúng", "❌ Sai"))</f>
        <v/>
      </c>
      <c r="K75" s="14" t="n"/>
      <c r="L75" s="7">
        <f>IF(ISBLANK(K75), "", IF(UPPER(TRIM(K75))="B", "✅ Đúng", "❌ Sai"))</f>
        <v/>
      </c>
      <c r="M75" s="7">
        <f>COUNTIF(H75, "❌ Sai") + COUNTIF(J75, "❌ Sai") + COUNTIF(L75, "❌ Sai")</f>
        <v/>
      </c>
      <c r="N75" s="7">
        <f>IF(ISBLANK(G75), "⏳ Chờ làm", IF(H75="✅ Đúng", "✅ Đúng ngay L1", IF(J75="✅ Đúng", "✅ Đúng ở L2", IF(L75="✅ Đúng", "✅ Đúng ở L3", "❌ Chưa đúng sau 3 lần"))))</f>
        <v/>
      </c>
      <c r="O75" s="13">
        <f>IF(ISBLANK(F75), "💡 Nhập đáp án vào Lần thử 1", IF(G75="✅ Đúng", "✨ Xuất sắc! Bạn đã làm đúng.", "💡 Gợi ý: " &amp; "Áp dụng mô hình hàm số mũ y = a(b)^x với a là giá trị ban đầu và b là hệ số tăng/giảm."))</f>
        <v/>
      </c>
      <c r="P75" s="5">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Q75" s="5">
        <f>IF(OR(H75="✅ Đúng", J75="✅ Đúng", L75="✅ Đúng"), "Exponential Growth Model: P(t) = P0 * (1 + r)^t = 7,138 * (1.22)^n.", "🔒 Trả lời đúng để mở khóa Strategic Tip!")</f>
        <v/>
      </c>
    </row>
    <row r="76" ht="15.75" customHeight="1" s="19">
      <c r="A76" s="7" t="inlineStr">
        <is>
          <t>M72</t>
        </is>
      </c>
      <c r="B76" s="7" t="inlineStr">
        <is>
          <t>Math Module 1</t>
        </is>
      </c>
      <c r="C76" s="5" t="inlineStr">
        <is>
          <t>Trigonometry (Special Right Triangle 45-45-90)</t>
        </is>
      </c>
      <c r="D76" s="5" t="inlineStr">
        <is>
          <t>In right triangle ABC with angle B = 90 deg and angle C = 45 deg, hypotenuse AC has length x = 19.</t>
        </is>
      </c>
      <c r="E76" s="5" t="inlineStr">
        <is>
          <t>Calculator Allowed. What is the value of sin A?</t>
        </is>
      </c>
      <c r="F76" s="5" t="inlineStr">
        <is>
          <t>A. Lựa chọn A
B. Lựa chọn B
C. Lựa chọn C
D. Lựa chọn D</t>
        </is>
      </c>
      <c r="G76" s="14" t="n"/>
      <c r="H76" s="7">
        <f>IF(ISBLANK(G76), "⏳ Chờ đáp án", IF(UPPER(TRIM(G76))="B", "✅ Đúng", "❌ Sai"))</f>
        <v/>
      </c>
      <c r="I76" s="14" t="n"/>
      <c r="J76" s="7">
        <f>IF(ISBLANK(I76), "", IF(UPPER(TRIM(I76))="B", "✅ Đúng", "❌ Sai"))</f>
        <v/>
      </c>
      <c r="K76" s="14" t="n"/>
      <c r="L76" s="7">
        <f>IF(ISBLANK(K76), "", IF(UPPER(TRIM(K76))="B", "✅ Đúng", "❌ Sai"))</f>
        <v/>
      </c>
      <c r="M76" s="7">
        <f>COUNTIF(H76, "❌ Sai") + COUNTIF(J76, "❌ Sai") + COUNTIF(L76, "❌ Sai")</f>
        <v/>
      </c>
      <c r="N76" s="7">
        <f>IF(ISBLANK(G76), "⏳ Chờ làm", IF(H76="✅ Đúng", "✅ Đúng ngay L1", IF(J76="✅ Đúng", "✅ Đúng ở L2", IF(L76="✅ Đúng", "✅ Đúng ở L3", "❌ Chưa đúng sau 3 lần"))))</f>
        <v/>
      </c>
      <c r="O76" s="13">
        <f>IF(ISBLANK(F76), "💡 Nhập đáp án vào Lần thử 1", IF(G76="✅ Đúng", "✨ Xuất sắc! Bạn đã làm đúng.", "💡 Gợi ý: " &amp; "Sử dụng tỉ số lượng giác hoặc tính chất của tam giác vuông đặc biệt 45-45-90."))</f>
        <v/>
      </c>
      <c r="P76" s="5">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c>
      <c r="Q76" s="5">
        <f>IF(OR(H76="✅ Đúng", J76="✅ Đúng", L76="✅ Đúng"), "Special Right Triangle 45-45-90: sin(45 deg) = 1/sqrt(2).", "🔒 Trả lời đúng để mở khóa Strategic Tip!")</f>
        <v/>
      </c>
    </row>
    <row r="77" ht="15.75" customHeight="1" s="19">
      <c r="A77" s="7" t="inlineStr">
        <is>
          <t>M73</t>
        </is>
      </c>
      <c r="B77" s="7" t="inlineStr">
        <is>
          <t>Math Module 1</t>
        </is>
      </c>
      <c r="C77" s="5" t="inlineStr">
        <is>
          <t>3D Geometry (Right Square Prism Volume)</t>
        </is>
      </c>
      <c r="D77" s="5" t="inlineStr">
        <is>
          <t>A right square prism has a height of 15 units and a volume of 1,815 cubic units.</t>
        </is>
      </c>
      <c r="E77" s="5" t="inlineStr">
        <is>
          <t>Calculator Allowed. What is the length, in units, of an edge of the base?</t>
        </is>
      </c>
      <c r="F77" s="5" t="inlineStr">
        <is>
          <t>Student-Produced Response (Grid-in)</t>
        </is>
      </c>
      <c r="G77" s="14" t="n"/>
      <c r="H77" s="7">
        <f>IF(ISBLANK(G77), "⏳ Chờ đáp án", IF(UPPER(TRIM(G77))="11", "✅ Đúng", "❌ Sai"))</f>
        <v/>
      </c>
      <c r="I77" s="14" t="n"/>
      <c r="J77" s="7">
        <f>IF(ISBLANK(I77), "", IF(UPPER(TRIM(I77))="11", "✅ Đúng", "❌ Sai"))</f>
        <v/>
      </c>
      <c r="K77" s="14" t="n"/>
      <c r="L77" s="7">
        <f>IF(ISBLANK(K77), "", IF(UPPER(TRIM(K77))="11", "✅ Đúng", "❌ Sai"))</f>
        <v/>
      </c>
      <c r="M77" s="7">
        <f>COUNTIF(H77, "❌ Sai") + COUNTIF(J77, "❌ Sai") + COUNTIF(L77, "❌ Sai")</f>
        <v/>
      </c>
      <c r="N77" s="7">
        <f>IF(ISBLANK(G77), "⏳ Chờ làm", IF(H77="✅ Đúng", "✅ Đúng ngay L1", IF(J77="✅ Đúng", "✅ Đúng ở L2", IF(L77="✅ Đúng", "✅ Đúng ở L3", "❌ Chưa đúng sau 3 lần"))))</f>
        <v/>
      </c>
      <c r="O77" s="13">
        <f>IF(ISBLANK(F77), "💡 Nhập đáp án vào Lần thử 1", IF(G77="✅ Đúng", "✨ Xuất sắc! Bạn đã làm đúng.", "💡 Gợi ý: " &amp; "Sử dụng công thức thể tích khối lăng trụ đứng V = B * h (diện tích đáy nhân chiều cao)."))</f>
        <v/>
      </c>
      <c r="P77" s="5">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c>
      <c r="Q77" s="5">
        <f>IF(OR(H77="✅ Đúng", J77="✅ Đúng", L77="✅ Đúng"), "Volume of Square Prism = s^2 * h =&gt; s^2 = 1815 / 15 = 121 =&gt; s = 11.", "🔒 Trả lời đúng để mở khóa Strategic Tip!")</f>
        <v/>
      </c>
    </row>
    <row r="78" ht="15.75" customHeight="1" s="19">
      <c r="A78" s="7" t="inlineStr">
        <is>
          <t>M74</t>
        </is>
      </c>
      <c r="B78" s="7" t="inlineStr">
        <is>
          <t>Math Module 1</t>
        </is>
      </c>
      <c r="C78" s="5" t="inlineStr">
        <is>
          <t>Systems of Non-linear Equations</t>
        </is>
      </c>
      <c r="D78" s="5" t="inlineStr">
        <is>
          <t>System of equations: y = x - 1 and y = 19(x - 1)^2 - 20.</t>
        </is>
      </c>
      <c r="E78" s="5" t="inlineStr">
        <is>
          <t>Calculator Allowed. What is one possible value of x - 1?</t>
        </is>
      </c>
      <c r="F78" s="5" t="inlineStr">
        <is>
          <t>A. Lựa chọn A
B. Lựa chọn B
C. Lựa chọn C
D. Lựa chọn D</t>
        </is>
      </c>
      <c r="G78" s="14" t="n"/>
      <c r="H78" s="7">
        <f>IF(ISBLANK(G78), "⏳ Chờ đáp án", IF(UPPER(TRIM(G78))="C", "✅ Đúng", "❌ Sai"))</f>
        <v/>
      </c>
      <c r="I78" s="14" t="n"/>
      <c r="J78" s="7">
        <f>IF(ISBLANK(I78), "", IF(UPPER(TRIM(I78))="C", "✅ Đúng", "❌ Sai"))</f>
        <v/>
      </c>
      <c r="K78" s="14" t="n"/>
      <c r="L78" s="7">
        <f>IF(ISBLANK(K78), "", IF(UPPER(TRIM(K78))="C", "✅ Đúng", "❌ Sai"))</f>
        <v/>
      </c>
      <c r="M78" s="7">
        <f>COUNTIF(H78, "❌ Sai") + COUNTIF(J78, "❌ Sai") + COUNTIF(L78, "❌ Sai")</f>
        <v/>
      </c>
      <c r="N78" s="7">
        <f>IF(ISBLANK(G78), "⏳ Chờ làm", IF(H78="✅ Đúng", "✅ Đúng ngay L1", IF(J78="✅ Đúng", "✅ Đúng ở L2", IF(L78="✅ Đúng", "✅ Đúng ở L3", "❌ Chưa đúng sau 3 lần"))))</f>
        <v/>
      </c>
      <c r="O78" s="13">
        <f>IF(ISBLANK(F78), "💡 Nhập đáp án vào Lần thử 1", IF(G78="✅ Đúng", "✨ Xuất sắc! Bạn đã làm đúng.", "💡 Gợi ý: " &amp; "Sử dụng phương pháp thế hoặc cộng đại số để giải hệ phương trình gồm đường thẳng và parabol."))</f>
        <v/>
      </c>
      <c r="P78" s="5">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Q78" s="5">
        <f>IF(OR(H78="✅ Đúng", J78="✅ Đúng", L78="✅ Đúng"), "Substitute u = x - 1 =&gt; 19u^2 - u - 20 = 0 =&gt; u = 1 or u = 20/19.", "🔒 Trả lời đúng để mở khóa Strategic Tip!")</f>
        <v/>
      </c>
    </row>
    <row r="79" ht="15.75" customHeight="1" s="19">
      <c r="A79" s="7" t="inlineStr">
        <is>
          <t>M75</t>
        </is>
      </c>
      <c r="B79" s="7" t="inlineStr">
        <is>
          <t>Math Module 1</t>
        </is>
      </c>
      <c r="C79" s="5" t="inlineStr">
        <is>
          <t>Systems of Linear Equations (No Solution)</t>
        </is>
      </c>
      <c r="D79" s="5" t="inlineStr">
        <is>
          <t>System of equations: 18x + 6y = 8y + 9 and ty = 1/5 + 9x.</t>
        </is>
      </c>
      <c r="E79" s="5" t="inlineStr">
        <is>
          <t>Calculator Allowed. In the given system, t is a constant. If the system has no solution, what is the value of t?</t>
        </is>
      </c>
      <c r="F79" s="5" t="inlineStr">
        <is>
          <t>Student-Produced Response (Grid-in)</t>
        </is>
      </c>
      <c r="G79" s="14" t="n"/>
      <c r="H79" s="7">
        <f>IF(ISBLANK(G79), "⏳ Chờ đáp án", IF(UPPER(TRIM(G79))="1", "✅ Đúng", "❌ Sai"))</f>
        <v/>
      </c>
      <c r="I79" s="14" t="n"/>
      <c r="J79" s="7">
        <f>IF(ISBLANK(I79), "", IF(UPPER(TRIM(I79))="1", "✅ Đúng", "❌ Sai"))</f>
        <v/>
      </c>
      <c r="K79" s="14" t="n"/>
      <c r="L79" s="7">
        <f>IF(ISBLANK(K79), "", IF(UPPER(TRIM(K79))="1", "✅ Đúng", "❌ Sai"))</f>
        <v/>
      </c>
      <c r="M79" s="7">
        <f>COUNTIF(H79, "❌ Sai") + COUNTIF(J79, "❌ Sai") + COUNTIF(L79, "❌ Sai")</f>
        <v/>
      </c>
      <c r="N79" s="7">
        <f>IF(ISBLANK(G79), "⏳ Chờ làm", IF(H79="✅ Đúng", "✅ Đúng ngay L1", IF(J79="✅ Đúng", "✅ Đúng ở L2", IF(L79="✅ Đúng", "✅ Đúng ở L3", "❌ Chưa đúng sau 3 lần"))))</f>
        <v/>
      </c>
      <c r="O79" s="13">
        <f>IF(ISBLANK(F79), "💡 Nhập đáp án vào Lần thử 1", IF(G79="✅ Đúng", "✨ Xuất sắc! Bạn đã làm đúng.", "💡 Gợi ý: " &amp; "Để hệ phương trình tuyến tính vô nghiệm, hai đường thẳng phải song song (cùng hệ số góc nhưng khác tung độ gốc)."))</f>
        <v/>
      </c>
      <c r="P79" s="5">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Q79" s="5">
        <f>IF(OR(H79="✅ Đúng", J79="✅ Đúng", L79="✅ Đúng"), "Parallel Lines Condition: m1 = m2 =&gt; t = 1.", "🔒 Trả lời đúng để mở khóa Strategic Tip!")</f>
        <v/>
      </c>
    </row>
    <row r="80" ht="15.75" customHeight="1" s="19">
      <c r="A80" s="7" t="inlineStr">
        <is>
          <t>M76</t>
        </is>
      </c>
      <c r="B80" s="7" t="inlineStr">
        <is>
          <t>Math Module 1</t>
        </is>
      </c>
      <c r="C80" s="5" t="inlineStr">
        <is>
          <t>Circle Geometry (Radius from Intercepts)</t>
        </is>
      </c>
      <c r="D80" s="5" t="inlineStr">
        <is>
          <t>A circle in the xy-plane has center (24, 5) and y-intercepts (0, -27) and (0, 37).</t>
        </is>
      </c>
      <c r="E80" s="5" t="inlineStr">
        <is>
          <t>Calculator Allowed. What is the radius of this circle?</t>
        </is>
      </c>
      <c r="F80" s="5" t="inlineStr">
        <is>
          <t>A. Lựa chọn A
B. Lựa chọn B
C. Lựa chọn C
D. Lựa chọn D</t>
        </is>
      </c>
      <c r="G80" s="14" t="n"/>
      <c r="H80" s="7">
        <f>IF(ISBLANK(G80), "⏳ Chờ đáp án", IF(UPPER(TRIM(G80))="A", "✅ Đúng", "❌ Sai"))</f>
        <v/>
      </c>
      <c r="I80" s="14" t="n"/>
      <c r="J80" s="7">
        <f>IF(ISBLANK(I80), "", IF(UPPER(TRIM(I80))="A", "✅ Đúng", "❌ Sai"))</f>
        <v/>
      </c>
      <c r="K80" s="14" t="n"/>
      <c r="L80" s="7">
        <f>IF(ISBLANK(K80), "", IF(UPPER(TRIM(K80))="A", "✅ Đúng", "❌ Sai"))</f>
        <v/>
      </c>
      <c r="M80" s="7">
        <f>COUNTIF(H80, "❌ Sai") + COUNTIF(J80, "❌ Sai") + COUNTIF(L80, "❌ Sai")</f>
        <v/>
      </c>
      <c r="N80" s="7">
        <f>IF(ISBLANK(G80), "⏳ Chờ làm", IF(H80="✅ Đúng", "✅ Đúng ngay L1", IF(J80="✅ Đúng", "✅ Đúng ở L2", IF(L80="✅ Đúng", "✅ Đúng ở L3", "❌ Chưa đúng sau 3 lần"))))</f>
        <v/>
      </c>
      <c r="O80" s="13">
        <f>IF(ISBLANK(F80), "💡 Nhập đáp án vào Lần thử 1", IF(G80="✅ Đúng", "✨ Xuất sắc! Bạn đã làm đúng.", "💡 Gợi ý: " &amp; "Xác định tọa độ tâm và giao điểm với các trục tọa độ để tính bán kính đường tròn."))</f>
        <v/>
      </c>
      <c r="P80" s="5">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Q80" s="5">
        <f>IF(OR(H80="✅ Đúng", J80="✅ Đúng", L80="✅ Đúng"), "Distance Formula: r = sqrt((x_center - 0)^2 + (y_center - y_int)^2) = sqrt(24^2 + 32^2) = 40.", "🔒 Trả lời đúng để mở khóa Strategic Tip!")</f>
        <v/>
      </c>
    </row>
    <row r="81" ht="15.75" customHeight="1" s="19">
      <c r="A81" s="7" t="inlineStr">
        <is>
          <t>M77</t>
        </is>
      </c>
      <c r="B81" s="7" t="inlineStr">
        <is>
          <t>Math Module 2</t>
        </is>
      </c>
      <c r="C81" s="5" t="inlineStr">
        <is>
          <t>Circle Equations (Radius)</t>
        </is>
      </c>
      <c r="D81" s="5" t="inlineStr">
        <is>
          <t>A circle in the xy-plane has equation (x - 4)^2 + (y + 1)^2 = 49.</t>
        </is>
      </c>
      <c r="E81" s="5" t="inlineStr">
        <is>
          <t>Calculator Allowed. What is the radius of the circle?</t>
        </is>
      </c>
      <c r="F81" s="5" t="inlineStr">
        <is>
          <t>A. Lựa chọn A
B. Lựa chọn B
C. Lựa chọn C
D. Lựa chọn D</t>
        </is>
      </c>
      <c r="G81" s="14" t="n"/>
      <c r="H81" s="7">
        <f>IF(ISBLANK(G81), "⏳ Chờ đáp án", IF(UPPER(TRIM(G81))="A", "✅ Đúng", "❌ Sai"))</f>
        <v/>
      </c>
      <c r="I81" s="14" t="n"/>
      <c r="J81" s="7">
        <f>IF(ISBLANK(I81), "", IF(UPPER(TRIM(I81))="A", "✅ Đúng", "❌ Sai"))</f>
        <v/>
      </c>
      <c r="K81" s="14" t="n"/>
      <c r="L81" s="7">
        <f>IF(ISBLANK(K81), "", IF(UPPER(TRIM(K81))="A", "✅ Đúng", "❌ Sai"))</f>
        <v/>
      </c>
      <c r="M81" s="7">
        <f>COUNTIF(H81, "❌ Sai") + COUNTIF(J81, "❌ Sai") + COUNTIF(L81, "❌ Sai")</f>
        <v/>
      </c>
      <c r="N81" s="7">
        <f>IF(ISBLANK(G81), "⏳ Chờ làm", IF(H81="✅ Đúng", "✅ Đúng ngay L1", IF(J81="✅ Đúng", "✅ Đúng ở L2", IF(L81="✅ Đúng", "✅ Đúng ở L3", "❌ Chưa đúng sau 3 lần"))))</f>
        <v/>
      </c>
      <c r="O81" s="13">
        <f>IF(ISBLANK(F81), "💡 Nhập đáp án vào Lần thử 1", IF(G81="✅ Đúng", "✨ Xuất sắc! Bạn đã làm đúng.", "💡 Gợi ý: " &amp; "So sánh phương trình đã cho với phương trình đường tròn chuẩn (x - h)^2 + (y - k)^2 = r^2 để tìm bán kính r."))</f>
        <v/>
      </c>
      <c r="P81" s="5">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Q81" s="5">
        <f>IF(OR(H81="✅ Đúng", J81="✅ Đúng", L81="✅ Đúng"), "Circle Equation: (x - h)^2 + (y - k)^2 = r^2 =&gt; r = sqrt(49) = 7.", "🔒 Trả lời đúng để mở khóa Strategic Tip!")</f>
        <v/>
      </c>
    </row>
    <row r="82" ht="15.75" customHeight="1" s="19">
      <c r="A82" s="7" t="inlineStr">
        <is>
          <t>M78</t>
        </is>
      </c>
      <c r="B82" s="7" t="inlineStr">
        <is>
          <t>Math Module 2</t>
        </is>
      </c>
      <c r="C82" s="5" t="inlineStr">
        <is>
          <t>Linear Functions &amp; Table Data</t>
        </is>
      </c>
      <c r="D82" s="5" t="inlineStr">
        <is>
          <t>A table shows area x (sq ft) and water f(x) (gallons): (2400, 4320), (3600, 6480), (4800, 8640).</t>
        </is>
      </c>
      <c r="E82" s="5" t="inlineStr">
        <is>
          <t>Calculator Allowed. Which equation defines f(x)?</t>
        </is>
      </c>
      <c r="F82" s="5" t="inlineStr">
        <is>
          <t>A. Lựa chọn A
B. Lựa chọn B
C. Lựa chọn C
D. Lựa chọn D</t>
        </is>
      </c>
      <c r="G82" s="14" t="n"/>
      <c r="H82" s="7">
        <f>IF(ISBLANK(G82), "⏳ Chờ đáp án", IF(UPPER(TRIM(G82))="B", "✅ Đúng", "❌ Sai"))</f>
        <v/>
      </c>
      <c r="I82" s="14" t="n"/>
      <c r="J82" s="7">
        <f>IF(ISBLANK(I82), "", IF(UPPER(TRIM(I82))="B", "✅ Đúng", "❌ Sai"))</f>
        <v/>
      </c>
      <c r="K82" s="14" t="n"/>
      <c r="L82" s="7">
        <f>IF(ISBLANK(K82), "", IF(UPPER(TRIM(K82))="B", "✅ Đúng", "❌ Sai"))</f>
        <v/>
      </c>
      <c r="M82" s="7">
        <f>COUNTIF(H82, "❌ Sai") + COUNTIF(J82, "❌ Sai") + COUNTIF(L82, "❌ Sai")</f>
        <v/>
      </c>
      <c r="N82" s="7">
        <f>IF(ISBLANK(G82), "⏳ Chờ làm", IF(H82="✅ Đúng", "✅ Đúng ngay L1", IF(J82="✅ Đúng", "✅ Đúng ở L2", IF(L82="✅ Đúng", "✅ Đúng ở L3", "❌ Chưa đúng sau 3 lần"))))</f>
        <v/>
      </c>
      <c r="O82" s="13">
        <f>IF(ISBLANK(F82), "💡 Nhập đáp án vào Lần thử 1", IF(G82="✅ Đúng", "✨ Xuất sắc! Bạn đã làm đúng.", "💡 Gợi ý: " &amp; "Tính tỉ số thay đổi y/x từ bảng giá trị để xác định hệ số góc và dạng hàm số tương ứng."))</f>
        <v/>
      </c>
      <c r="P82" s="5">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Q82" s="5">
        <f>IF(OR(H82="✅ Đúng", J82="✅ Đúng", L82="✅ Đúng"), "Direct Variation Ratio: k = y / x = 4320 / 2400 = 1.8.", "🔒 Trả lời đúng để mở khóa Strategic Tip!")</f>
        <v/>
      </c>
    </row>
    <row r="83" ht="15.75" customHeight="1" s="19">
      <c r="A83" s="7" t="inlineStr">
        <is>
          <t>M79</t>
        </is>
      </c>
      <c r="B83" s="7" t="inlineStr">
        <is>
          <t>Math Module 2</t>
        </is>
      </c>
      <c r="C83" s="5" t="inlineStr">
        <is>
          <t>Linear Equations (Infinitely Many Solutions)</t>
        </is>
      </c>
      <c r="D83" s="5" t="inlineStr">
        <is>
          <t>Given the equation: 15x + 435 = a(x + 29).</t>
        </is>
      </c>
      <c r="E83" s="5" t="inlineStr">
        <is>
          <t>Calculator Allowed. If the equation has infinitely many solutions, what is the value of a?</t>
        </is>
      </c>
      <c r="F83" s="5" t="inlineStr">
        <is>
          <t>Student-Produced Response (Grid-in)</t>
        </is>
      </c>
      <c r="G83" s="14" t="n"/>
      <c r="H83" s="7">
        <f>IF(ISBLANK(G83), "⏳ Chờ đáp án", IF(UPPER(TRIM(G83))="15", "✅ Đúng", "❌ Sai"))</f>
        <v/>
      </c>
      <c r="I83" s="14" t="n"/>
      <c r="J83" s="7">
        <f>IF(ISBLANK(I83), "", IF(UPPER(TRIM(I83))="15", "✅ Đúng", "❌ Sai"))</f>
        <v/>
      </c>
      <c r="K83" s="14" t="n"/>
      <c r="L83" s="7">
        <f>IF(ISBLANK(K83), "", IF(UPPER(TRIM(K83))="15", "✅ Đúng", "❌ Sai"))</f>
        <v/>
      </c>
      <c r="M83" s="7">
        <f>COUNTIF(H83, "❌ Sai") + COUNTIF(J83, "❌ Sai") + COUNTIF(L83, "❌ Sai")</f>
        <v/>
      </c>
      <c r="N83" s="7">
        <f>IF(ISBLANK(G83), "⏳ Chờ làm", IF(H83="✅ Đúng", "✅ Đúng ngay L1", IF(J83="✅ Đúng", "✅ Đúng ở L2", IF(L83="✅ Đúng", "✅ Đúng ở L3", "❌ Chưa đúng sau 3 lần"))))</f>
        <v/>
      </c>
      <c r="O83" s="13">
        <f>IF(ISBLANK(F83), "💡 Nhập đáp án vào Lần thử 1", IF(G83="✅ Đúng", "✨ Xuất sắc! Bạn đã làm đúng.", "💡 Gợi ý: " &amp; "Để hệ phương trình có vô số nghiệm, các hệ số tương ứng của hai phương trình phải tỉ lệ với nhau."))</f>
        <v/>
      </c>
      <c r="P83" s="5">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Q83" s="5">
        <f>IF(OR(H83="✅ Đúng", J83="✅ Đúng", L83="✅ Đúng"), "Infinitely Many Solutions: Identical coefficients on both sides =&gt; a = 15.", "🔒 Trả lời đúng để mở khóa Strategic Tip!")</f>
        <v/>
      </c>
    </row>
    <row r="84" ht="15.75" customHeight="1" s="19">
      <c r="A84" s="7" t="inlineStr">
        <is>
          <t>M80</t>
        </is>
      </c>
      <c r="B84" s="7" t="inlineStr">
        <is>
          <t>Math Module 2</t>
        </is>
      </c>
      <c r="C84" s="5" t="inlineStr">
        <is>
          <t>Linear Modeling (Pricing Structure)</t>
        </is>
      </c>
      <c r="D84" s="5" t="inlineStr">
        <is>
          <t>A plumbing company charges 116 dollars for the first hour and 70 dollars for each additional hour, plus parts cost z dollars (x &gt;= 1).</t>
        </is>
      </c>
      <c r="E84" s="5" t="inlineStr">
        <is>
          <t>Calculator Allowed. Which equation represents total cost y?</t>
        </is>
      </c>
      <c r="F84" s="5" t="inlineStr">
        <is>
          <t>A. Lựa chọn A
B. Lựa chọn B
C. Lựa chọn C
D. Lựa chọn D</t>
        </is>
      </c>
      <c r="G84" s="14" t="n"/>
      <c r="H84" s="7">
        <f>IF(ISBLANK(G84), "⏳ Chờ đáp án", IF(UPPER(TRIM(G84))="B", "✅ Đúng", "❌ Sai"))</f>
        <v/>
      </c>
      <c r="I84" s="14" t="n"/>
      <c r="J84" s="7">
        <f>IF(ISBLANK(I84), "", IF(UPPER(TRIM(I84))="B", "✅ Đúng", "❌ Sai"))</f>
        <v/>
      </c>
      <c r="K84" s="14" t="n"/>
      <c r="L84" s="7">
        <f>IF(ISBLANK(K84), "", IF(UPPER(TRIM(K84))="B", "✅ Đúng", "❌ Sai"))</f>
        <v/>
      </c>
      <c r="M84" s="7">
        <f>COUNTIF(H84, "❌ Sai") + COUNTIF(J84, "❌ Sai") + COUNTIF(L84, "❌ Sai")</f>
        <v/>
      </c>
      <c r="N84" s="7">
        <f>IF(ISBLANK(G84), "⏳ Chờ làm", IF(H84="✅ Đúng", "✅ Đúng ngay L1", IF(J84="✅ Đúng", "✅ Đúng ở L2", IF(L84="✅ Đúng", "✅ Đúng ở L3", "❌ Chưa đúng sau 3 lần"))))</f>
        <v/>
      </c>
      <c r="O84" s="13">
        <f>IF(ISBLANK(F84), "💡 Nhập đáp án vào Lần thử 1", IF(G84="✅ Đúng", "✨ Xuất sắc! Bạn đã làm đúng.", "💡 Gợi ý: " &amp; "Phân tích chi phí cố định (hằng số) và chi phí biến đổi (hệ số nhân với số lượng) để lập mô hình."))</f>
        <v/>
      </c>
      <c r="P84" s="5">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c>
      <c r="Q84" s="5">
        <f>IF(OR(H84="✅ Đúng", J84="✅ Đúng", L84="✅ Đúng"), "Cost Model: y = First Hour + Additional Hours*(x - 1) + Parts = 116 + 70(x - 1) + z = 70x + z + 46.", "🔒 Trả lời đúng để mở khóa Strategic Tip!")</f>
        <v/>
      </c>
    </row>
    <row r="85" ht="15.75" customHeight="1" s="19">
      <c r="A85" s="7" t="inlineStr">
        <is>
          <t>M81</t>
        </is>
      </c>
      <c r="B85" s="7" t="inlineStr">
        <is>
          <t>Math Module 2</t>
        </is>
      </c>
      <c r="C85" s="5" t="inlineStr">
        <is>
          <t>Absolute Value Functions</t>
        </is>
      </c>
      <c r="D85" s="5" t="inlineStr">
        <is>
          <t>Function h(x) = |x - 8| - |6 - x| + a. Given h(-4) = 1.</t>
        </is>
      </c>
      <c r="E85" s="5" t="inlineStr">
        <is>
          <t>Calculator Allowed. What is the value of a?</t>
        </is>
      </c>
      <c r="F85" s="5" t="inlineStr">
        <is>
          <t>Student-Produced Response (Grid-in)</t>
        </is>
      </c>
      <c r="G85" s="14" t="n"/>
      <c r="H85" s="7">
        <f>IF(ISBLANK(G85), "⏳ Chờ đáp án", IF(UPPER(TRIM(G85))="-1", "✅ Đúng", "❌ Sai"))</f>
        <v/>
      </c>
      <c r="I85" s="14" t="n"/>
      <c r="J85" s="7">
        <f>IF(ISBLANK(I85), "", IF(UPPER(TRIM(I85))="-1", "✅ Đúng", "❌ Sai"))</f>
        <v/>
      </c>
      <c r="K85" s="14" t="n"/>
      <c r="L85" s="7">
        <f>IF(ISBLANK(K85), "", IF(UPPER(TRIM(K85))="-1", "✅ Đúng", "❌ Sai"))</f>
        <v/>
      </c>
      <c r="M85" s="7">
        <f>COUNTIF(H85, "❌ Sai") + COUNTIF(J85, "❌ Sai") + COUNTIF(L85, "❌ Sai")</f>
        <v/>
      </c>
      <c r="N85" s="7">
        <f>IF(ISBLANK(G85), "⏳ Chờ làm", IF(H85="✅ Đúng", "✅ Đúng ngay L1", IF(J85="✅ Đúng", "✅ Đúng ở L2", IF(L85="✅ Đúng", "✅ Đúng ở L3", "❌ Chưa đúng sau 3 lần"))))</f>
        <v/>
      </c>
      <c r="O85" s="13">
        <f>IF(ISBLANK(F85), "💡 Nhập đáp án vào Lần thử 1", IF(G85="✅ Đúng", "✨ Xuất sắc! Bạn đã làm đúng.", "💡 Gợi ý: " &amp; "Xác định tập giá trị của hàm giá trị tuyệt đối y = |f(x)| + k để tìm điểm cực trị."))</f>
        <v/>
      </c>
      <c r="P85" s="5">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Q85" s="5">
        <f>IF(OR(H85="✅ Đúng", J85="✅ Đúng", L85="✅ Đúng"), "Evaluate h(-4): 12 - 10 + a = 1 =&gt; 2 + a = 1 =&gt; a = -1.", "🔒 Trả lời đúng để mở khóa Strategic Tip!")</f>
        <v/>
      </c>
    </row>
    <row r="86" ht="15.75" customHeight="1" s="19">
      <c r="A86" s="7" t="inlineStr">
        <is>
          <t>M82</t>
        </is>
      </c>
      <c r="B86" s="7" t="inlineStr">
        <is>
          <t>Math Module 2</t>
        </is>
      </c>
      <c r="C86" s="5" t="inlineStr">
        <is>
          <t>Perpendicular Lines Slope</t>
        </is>
      </c>
      <c r="D86" s="5" t="inlineStr">
        <is>
          <t>Line h is defined by 2x + 3y - 30 = 0. Line j is perpendicular to line h in the xy-plane.</t>
        </is>
      </c>
      <c r="E86" s="5" t="inlineStr">
        <is>
          <t>Calculator Allowed. What is the slope of line j?</t>
        </is>
      </c>
      <c r="F86" s="5" t="inlineStr">
        <is>
          <t>A. Lựa chọn A
B. Lựa chọn B
C. Lựa chọn C
D. Lựa chọn D</t>
        </is>
      </c>
      <c r="G86" s="14" t="n"/>
      <c r="H86" s="7">
        <f>IF(ISBLANK(G86), "⏳ Chờ đáp án", IF(UPPER(TRIM(G86))="D", "✅ Đúng", "❌ Sai"))</f>
        <v/>
      </c>
      <c r="I86" s="14" t="n"/>
      <c r="J86" s="7">
        <f>IF(ISBLANK(I86), "", IF(UPPER(TRIM(I86))="D", "✅ Đúng", "❌ Sai"))</f>
        <v/>
      </c>
      <c r="K86" s="14" t="n"/>
      <c r="L86" s="7">
        <f>IF(ISBLANK(K86), "", IF(UPPER(TRIM(K86))="D", "✅ Đúng", "❌ Sai"))</f>
        <v/>
      </c>
      <c r="M86" s="7">
        <f>COUNTIF(H86, "❌ Sai") + COUNTIF(J86, "❌ Sai") + COUNTIF(L86, "❌ Sai")</f>
        <v/>
      </c>
      <c r="N86" s="7">
        <f>IF(ISBLANK(G86), "⏳ Chờ làm", IF(H86="✅ Đúng", "✅ Đúng ngay L1", IF(J86="✅ Đúng", "✅ Đúng ở L2", IF(L86="✅ Đúng", "✅ Đúng ở L3", "❌ Chưa đúng sau 3 lần"))))</f>
        <v/>
      </c>
      <c r="O86" s="13">
        <f>IF(ISBLANK(F86), "💡 Nhập đáp án vào Lần thử 1", IF(G86="✅ Đúng", "✨ Xuất sắc! Bạn đã làm đúng.", "💡 Gợi ý: " &amp; "Hai đường thẳng vuông góc có tích hai hệ số góc bằng -1 (hệ số góc là nghịch đảo đổi dấu)."))</f>
        <v/>
      </c>
      <c r="P86" s="5">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Q86" s="5">
        <f>IF(OR(H86="✅ Đúng", J86="✅ Đúng", L86="✅ Đúng"), "Perpendicular Slope Condition: m1 * m2 = -1 =&gt; m_j = 3/2.", "🔒 Trả lời đúng để mở khóa Strategic Tip!")</f>
        <v/>
      </c>
    </row>
    <row r="87" ht="15.75" customHeight="1" s="19">
      <c r="A87" s="7" t="inlineStr">
        <is>
          <t>M83</t>
        </is>
      </c>
      <c r="B87" s="7" t="inlineStr">
        <is>
          <t>Math Module 2</t>
        </is>
      </c>
      <c r="C87" s="5" t="inlineStr">
        <is>
          <t>Exponential Population Growth Rate</t>
        </is>
      </c>
      <c r="D87" s="5" t="inlineStr">
        <is>
          <t>Model P(t) = 250(1.08)^t gives the population after t hours.</t>
        </is>
      </c>
      <c r="E87" s="5" t="inlineStr">
        <is>
          <t>Calculator Allowed. By what percentage does the population increase each hour?</t>
        </is>
      </c>
      <c r="F87" s="5" t="inlineStr">
        <is>
          <t>A. 0.08%
B. 8%
C. 25%
D. 108%</t>
        </is>
      </c>
      <c r="G87" s="14" t="n"/>
      <c r="H87" s="7">
        <f>IF(ISBLANK(G87), "⏳ Chờ đáp án", IF(UPPER(TRIM(G87))="B", "✅ Đúng", "❌ Sai"))</f>
        <v/>
      </c>
      <c r="I87" s="14" t="n"/>
      <c r="J87" s="7">
        <f>IF(ISBLANK(I87), "", IF(UPPER(TRIM(I87))="B", "✅ Đúng", "❌ Sai"))</f>
        <v/>
      </c>
      <c r="K87" s="14" t="n"/>
      <c r="L87" s="7">
        <f>IF(ISBLANK(K87), "", IF(UPPER(TRIM(K87))="B", "✅ Đúng", "❌ Sai"))</f>
        <v/>
      </c>
      <c r="M87" s="7">
        <f>COUNTIF(H87, "❌ Sai") + COUNTIF(J87, "❌ Sai") + COUNTIF(L87, "❌ Sai")</f>
        <v/>
      </c>
      <c r="N87" s="7">
        <f>IF(ISBLANK(G87), "⏳ Chờ làm", IF(H87="✅ Đúng", "✅ Đúng ngay L1", IF(J87="✅ Đúng", "✅ Đúng ở L2", IF(L87="✅ Đúng", "✅ Đúng ở L3", "❌ Chưa đúng sau 3 lần"))))</f>
        <v/>
      </c>
      <c r="O87" s="13">
        <f>IF(ISBLANK(F87), "💡 Nhập đáp án vào Lần thử 1", IF(G87="✅ Đúng", "✨ Xuất sắc! Bạn đã làm đúng.", "💡 Gợi ý: " &amp; "Xác định hệ số tăng trưởng trong mô hình mũ y = a(1 + r)^t để tìm tỉ lệ phần trăm tăng hàng năm."))</f>
        <v/>
      </c>
      <c r="P87" s="5">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Q87" s="5">
        <f>IF(OR(H87="✅ Đúng", J87="✅ Đúng", L87="✅ Đúng"), "Growth Factor = 1 + r =&gt; 1.08 = 1 + 0.08 =&gt; r = 8%.", "🔒 Trả lời đúng để mở khóa Strategic Tip!")</f>
        <v/>
      </c>
    </row>
    <row r="88" ht="15.75" customHeight="1" s="19">
      <c r="A88" s="7" t="inlineStr">
        <is>
          <t>M84</t>
        </is>
      </c>
      <c r="B88" s="7" t="inlineStr">
        <is>
          <t>Math Module 2</t>
        </is>
      </c>
      <c r="C88" s="5" t="inlineStr">
        <is>
          <t>Exponential Cooling Evaluation</t>
        </is>
      </c>
      <c r="D88" s="5" t="inlineStr">
        <is>
          <t>Temperature function g(t) = 296 + (362 - 296)(2.72)^(-0.104t).</t>
        </is>
      </c>
      <c r="E88" s="5" t="inlineStr">
        <is>
          <t>Calculator Allowed. What was the approximate temperature, in kelvins, when the liquid was placed on the table (t = 0)?</t>
        </is>
      </c>
      <c r="F88" s="5" t="inlineStr">
        <is>
          <t>Student-Produced Response (Grid-in)</t>
        </is>
      </c>
      <c r="G88" s="14" t="n"/>
      <c r="H88" s="7">
        <f>IF(ISBLANK(G88), "⏳ Chờ đáp án", IF(UPPER(TRIM(G88))="362", "✅ Đúng", "❌ Sai"))</f>
        <v/>
      </c>
      <c r="I88" s="14" t="n"/>
      <c r="J88" s="7">
        <f>IF(ISBLANK(I88), "", IF(UPPER(TRIM(I88))="362", "✅ Đúng", "❌ Sai"))</f>
        <v/>
      </c>
      <c r="K88" s="14" t="n"/>
      <c r="L88" s="7">
        <f>IF(ISBLANK(K88), "", IF(UPPER(TRIM(K88))="362", "✅ Đúng", "❌ Sai"))</f>
        <v/>
      </c>
      <c r="M88" s="7">
        <f>COUNTIF(H88, "❌ Sai") + COUNTIF(J88, "❌ Sai") + COUNTIF(L88, "❌ Sai")</f>
        <v/>
      </c>
      <c r="N88" s="7">
        <f>IF(ISBLANK(G88), "⏳ Chờ làm", IF(H88="✅ Đúng", "✅ Đúng ngay L1", IF(J88="✅ Đúng", "✅ Đúng ở L2", IF(L88="✅ Đúng", "✅ Đúng ở L3", "❌ Chưa đúng sau 3 lần"))))</f>
        <v/>
      </c>
      <c r="O88" s="13">
        <f>IF(ISBLANK(F88), "💡 Nhập đáp án vào Lần thử 1", IF(G88="✅ Đúng", "✨ Xuất sắc! Bạn đã làm đúng.", "💡 Gợi ý: " &amp; "Thay giá trị biến thời gian t vào công thức suy giảm mũ để tính giá trị còn lại."))</f>
        <v/>
      </c>
      <c r="P88" s="5">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c>
      <c r="Q88" s="5">
        <f>IF(OR(H88="✅ Đúng", J88="✅ Đúng", L88="✅ Đúng"), "Evaluate at t = 0: g(0) = 296 + (362 - 296) * 1 = 362.", "🔒 Trả lời đúng để mở khóa Strategic Tip!")</f>
        <v/>
      </c>
    </row>
    <row r="89" ht="15.75" customHeight="1" s="19">
      <c r="A89" s="7" t="inlineStr">
        <is>
          <t>M85</t>
        </is>
      </c>
      <c r="B89" s="7" t="inlineStr">
        <is>
          <t>Math Module 2</t>
        </is>
      </c>
      <c r="C89" s="5" t="inlineStr">
        <is>
          <t>Linear Inequalities (Graphing)</t>
        </is>
      </c>
      <c r="D89" s="5" t="inlineStr">
        <is>
          <t>A shaded region lies below the line passing through (0, 4) with slope -3.</t>
        </is>
      </c>
      <c r="E89" s="5" t="inlineStr">
        <is>
          <t>Calculator Allowed. Which inequality represents the shaded region?</t>
        </is>
      </c>
      <c r="F89" s="5" t="inlineStr">
        <is>
          <t>A. Lựa chọn A
B. Lựa chọn B
C. Lựa chọn C
D. Lựa chọn D</t>
        </is>
      </c>
      <c r="G89" s="14" t="n"/>
      <c r="H89" s="7">
        <f>IF(ISBLANK(G89), "⏳ Chờ đáp án", IF(UPPER(TRIM(G89))="C", "✅ Đúng", "❌ Sai"))</f>
        <v/>
      </c>
      <c r="I89" s="14" t="n"/>
      <c r="J89" s="7">
        <f>IF(ISBLANK(I89), "", IF(UPPER(TRIM(I89))="C", "✅ Đúng", "❌ Sai"))</f>
        <v/>
      </c>
      <c r="K89" s="14" t="n"/>
      <c r="L89" s="7">
        <f>IF(ISBLANK(K89), "", IF(UPPER(TRIM(K89))="C", "✅ Đúng", "❌ Sai"))</f>
        <v/>
      </c>
      <c r="M89" s="7">
        <f>COUNTIF(H89, "❌ Sai") + COUNTIF(J89, "❌ Sai") + COUNTIF(L89, "❌ Sai")</f>
        <v/>
      </c>
      <c r="N89" s="7">
        <f>IF(ISBLANK(G89), "⏳ Chờ làm", IF(H89="✅ Đúng", "✅ Đúng ngay L1", IF(J89="✅ Đúng", "✅ Đúng ở L2", IF(L89="✅ Đúng", "✅ Đúng ở L3", "❌ Chưa đúng sau 3 lần"))))</f>
        <v/>
      </c>
      <c r="O89" s="13">
        <f>IF(ISBLANK(F89), "💡 Nhập đáp án vào Lần thử 1", IF(G89="✅ Đúng", "✨ Xuất sắc! Bạn đã làm đúng.", "💡 Gợi ý: " &amp; "Biến đổi bất phương trình về dạng y &lt; mx + b hoặc y &gt; mx + b để xác định miền nghiệm nằm trên hay dưới đường biên."))</f>
        <v/>
      </c>
      <c r="P89" s="5">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Q89" s="5">
        <f>IF(OR(H89="✅ Đúng", J89="✅ Đúng", L89="✅ Đúng"), "Linear Inequality: Region below solid line y = -3x + 4 is y &lt; -3x + 4.", "🔒 Trả lời đúng để mở khóa Strategic Tip!")</f>
        <v/>
      </c>
    </row>
    <row r="90" ht="15.75" customHeight="1" s="19">
      <c r="A90" s="7" t="inlineStr">
        <is>
          <t>M86</t>
        </is>
      </c>
      <c r="B90" s="7" t="inlineStr">
        <is>
          <t>Math Module 2</t>
        </is>
      </c>
      <c r="C90" s="5" t="inlineStr">
        <is>
          <t>Systems of Linear Equations (Substitution)</t>
        </is>
      </c>
      <c r="D90" s="5" t="inlineStr">
        <is>
          <t>System of equations: 3(2x) + 8(9y) = 534 and 3(2x) - 8(9y) = -618.</t>
        </is>
      </c>
      <c r="E90" s="5" t="inlineStr">
        <is>
          <t>Calculator Allowed. What is the value of 2x + 9y?</t>
        </is>
      </c>
      <c r="F90" s="5" t="inlineStr">
        <is>
          <t>A. Lựa chọn A
B. Lựa chọn B
C. Lựa chọn C
D. Lựa chọn D</t>
        </is>
      </c>
      <c r="G90" s="14" t="n"/>
      <c r="H90" s="7">
        <f>IF(ISBLANK(G90), "⏳ Chờ đáp án", IF(UPPER(TRIM(G90))="C", "✅ Đúng", "❌ Sai"))</f>
        <v/>
      </c>
      <c r="I90" s="14" t="n"/>
      <c r="J90" s="7">
        <f>IF(ISBLANK(I90), "", IF(UPPER(TRIM(I90))="C", "✅ Đúng", "❌ Sai"))</f>
        <v/>
      </c>
      <c r="K90" s="14" t="n"/>
      <c r="L90" s="7">
        <f>IF(ISBLANK(K90), "", IF(UPPER(TRIM(K90))="C", "✅ Đúng", "❌ Sai"))</f>
        <v/>
      </c>
      <c r="M90" s="7">
        <f>COUNTIF(H90, "❌ Sai") + COUNTIF(J90, "❌ Sai") + COUNTIF(L90, "❌ Sai")</f>
        <v/>
      </c>
      <c r="N90" s="7">
        <f>IF(ISBLANK(G90), "⏳ Chờ làm", IF(H90="✅ Đúng", "✅ Đúng ngay L1", IF(J90="✅ Đúng", "✅ Đúng ở L2", IF(L90="✅ Đúng", "✅ Đúng ở L3", "❌ Chưa đúng sau 3 lần"))))</f>
        <v/>
      </c>
      <c r="O90" s="13">
        <f>IF(ISBLANK(F90), "💡 Nhập đáp án vào Lần thử 1", IF(G90="✅ Đúng", "✨ Xuất sắc! Bạn đã làm đúng.", "💡 Gợi ý: " &amp; "Sử dụng phương pháp cộng đại số hoặc thế để tìm tọa độ (x, y) rồi tính giá trị của biểu thức đề bài yêu cầu."))</f>
        <v/>
      </c>
      <c r="P90" s="5">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Q90" s="5">
        <f>IF(OR(H90="✅ Đúng", J90="✅ Đúng", L90="✅ Đúng"), "Add equations: 12x = -84 =&gt; x = -7 =&gt; 2x = -14; 144y = 1152 =&gt; 9y = 72 =&gt; -14 + 72 = 58.", "🔒 Trả lời đúng để mở khóa Strategic Tip!")</f>
        <v/>
      </c>
    </row>
    <row r="91" ht="15.75" customHeight="1" s="19">
      <c r="A91" s="7" t="inlineStr">
        <is>
          <t>M87</t>
        </is>
      </c>
      <c r="B91" s="7" t="inlineStr">
        <is>
          <t>Math Module 2</t>
        </is>
      </c>
      <c r="C91" s="5" t="inlineStr">
        <is>
          <t>Quadratic Vertex &amp; Maximum</t>
        </is>
      </c>
      <c r="D91" s="5" t="inlineStr">
        <is>
          <t>Given the function f(x) = -2(x - 3)^2 + 8.</t>
        </is>
      </c>
      <c r="E91" s="5" t="inlineStr">
        <is>
          <t>Calculator Allowed. What is the maximum value of f(x)?</t>
        </is>
      </c>
      <c r="F91" s="5" t="inlineStr">
        <is>
          <t>A. Lựa chọn A
B. Lựa chọn B
C. Lựa chọn C
D. Lựa chọn D</t>
        </is>
      </c>
      <c r="G91" s="14" t="n"/>
      <c r="H91" s="7">
        <f>IF(ISBLANK(G91), "⏳ Chờ đáp án", IF(UPPER(TRIM(G91))="D", "✅ Đúng", "❌ Sai"))</f>
        <v/>
      </c>
      <c r="I91" s="14" t="n"/>
      <c r="J91" s="7">
        <f>IF(ISBLANK(I91), "", IF(UPPER(TRIM(I91))="D", "✅ Đúng", "❌ Sai"))</f>
        <v/>
      </c>
      <c r="K91" s="14" t="n"/>
      <c r="L91" s="7">
        <f>IF(ISBLANK(K91), "", IF(UPPER(TRIM(K91))="D", "✅ Đúng", "❌ Sai"))</f>
        <v/>
      </c>
      <c r="M91" s="7">
        <f>COUNTIF(H91, "❌ Sai") + COUNTIF(J91, "❌ Sai") + COUNTIF(L91, "❌ Sai")</f>
        <v/>
      </c>
      <c r="N91" s="7">
        <f>IF(ISBLANK(G91), "⏳ Chờ làm", IF(H91="✅ Đúng", "✅ Đúng ngay L1", IF(J91="✅ Đúng", "✅ Đúng ở L2", IF(L91="✅ Đúng", "✅ Đúng ở L3", "❌ Chưa đúng sau 3 lần"))))</f>
        <v/>
      </c>
      <c r="O91" s="13">
        <f>IF(ISBLANK(F91), "💡 Nhập đáp án vào Lần thử 1", IF(G91="✅ Đúng", "✨ Xuất sắc! Bạn đã làm đúng.", "💡 Gợi ý: " &amp; "Đưa hàm số bậc hai về dạng đỉnh y = a(x - h)^2 + k để xác định giá trị lớn nhất/nhỏ nhất tại k."))</f>
        <v/>
      </c>
      <c r="P91" s="5">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Q91" s="5">
        <f>IF(OR(H91="✅ Đúng", J91="✅ Đúng", L91="✅ Đúng"), "Parabola Vertex (h, k) with a &lt; 0 has maximum value = k = 8.", "🔒 Trả lời đúng để mở khóa Strategic Tip!")</f>
        <v/>
      </c>
    </row>
    <row r="92" ht="15.75" customHeight="1" s="19">
      <c r="A92" s="7" t="inlineStr">
        <is>
          <t>M88</t>
        </is>
      </c>
      <c r="B92" s="7" t="inlineStr">
        <is>
          <t>Math Module 2</t>
        </is>
      </c>
      <c r="C92" s="5" t="inlineStr">
        <is>
          <t>Statistics (Effect of Adding Outlier on Mean &amp; Median)</t>
        </is>
      </c>
      <c r="D92" s="5" t="inlineStr">
        <is>
          <t>A frequency table summarizes ages of 50 coins (mean = 72.5, median = 70). Vivek adds a 51st coin aged 90 years.</t>
        </is>
      </c>
      <c r="E92" s="5" t="inlineStr">
        <is>
          <t>Calculator Allowed. Which statement correctly compares the mean and median ages of the original and new collections?</t>
        </is>
      </c>
      <c r="F92" s="5" t="inlineStr">
        <is>
          <t>A. Lựa chọn A
B. Lựa chọn B
C. Lựa chọn C
D. Lựa chọn D</t>
        </is>
      </c>
      <c r="G92" s="14" t="n"/>
      <c r="H92" s="7">
        <f>IF(ISBLANK(G92), "⏳ Chờ đáp án", IF(UPPER(TRIM(G92))="B", "✅ Đúng", "❌ Sai"))</f>
        <v/>
      </c>
      <c r="I92" s="14" t="n"/>
      <c r="J92" s="7">
        <f>IF(ISBLANK(I92), "", IF(UPPER(TRIM(I92))="B", "✅ Đúng", "❌ Sai"))</f>
        <v/>
      </c>
      <c r="K92" s="14" t="n"/>
      <c r="L92" s="7">
        <f>IF(ISBLANK(K92), "", IF(UPPER(TRIM(K92))="B", "✅ Đúng", "❌ Sai"))</f>
        <v/>
      </c>
      <c r="M92" s="7">
        <f>COUNTIF(H92, "❌ Sai") + COUNTIF(J92, "❌ Sai") + COUNTIF(L92, "❌ Sai")</f>
        <v/>
      </c>
      <c r="N92" s="7">
        <f>IF(ISBLANK(G92), "⏳ Chờ làm", IF(H92="✅ Đúng", "✅ Đúng ngay L1", IF(J92="✅ Đúng", "✅ Đúng ở L2", IF(L92="✅ Đúng", "✅ Đúng ở L3", "❌ Chưa đúng sau 3 lần"))))</f>
        <v/>
      </c>
      <c r="O92" s="13">
        <f>IF(ISBLANK(F92), "💡 Nhập đáp án vào Lần thử 1", IF(G92="✅ Đúng", "✨ Xuất sắc! Bạn đã làm đúng.", "💡 Gợi ý: " &amp; "Phân tích tác động của việc thêm một giá trị ngoại lai (outlier) đối với số trung bình (Mean) và trung vị (Median)."))</f>
        <v/>
      </c>
      <c r="P92" s="5">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Q92" s="5">
        <f>IF(OR(H92="✅ Đúng", J92="✅ Đúng", L92="✅ Đúng"), "Adding a high value increases Mean; Median position remains in the same frequency bin.", "🔒 Trả lời đúng để mở khóa Strategic Tip!")</f>
        <v/>
      </c>
    </row>
    <row r="93" ht="15.75" customHeight="1" s="19">
      <c r="A93" s="7" t="inlineStr">
        <is>
          <t>M89</t>
        </is>
      </c>
      <c r="B93" s="7" t="inlineStr">
        <is>
          <t>Math Module 2</t>
        </is>
      </c>
      <c r="C93" s="5" t="inlineStr">
        <is>
          <t>Non-linear Systems (Circle &amp; Line)</t>
        </is>
      </c>
      <c r="D93" s="5" t="inlineStr">
        <is>
          <t>System of equations: x^2 + y^2 = 64 and y = mx + b/2. Intersect at (-7, y) with y &lt; 0.</t>
        </is>
      </c>
      <c r="E93" s="5" t="inlineStr">
        <is>
          <t>Calculator Allowed. Which expression represents the value of b?</t>
        </is>
      </c>
      <c r="F93" s="5" t="inlineStr">
        <is>
          <t>A. Lựa chọn A
B. Lựa chọn B
C. Lựa chọn C
D. Lựa chọn D</t>
        </is>
      </c>
      <c r="G93" s="14" t="n"/>
      <c r="H93" s="7">
        <f>IF(ISBLANK(G93), "⏳ Chờ đáp án", IF(UPPER(TRIM(G93))="A", "✅ Đúng", "❌ Sai"))</f>
        <v/>
      </c>
      <c r="I93" s="14" t="n"/>
      <c r="J93" s="7">
        <f>IF(ISBLANK(I93), "", IF(UPPER(TRIM(I93))="A", "✅ Đúng", "❌ Sai"))</f>
        <v/>
      </c>
      <c r="K93" s="14" t="n"/>
      <c r="L93" s="7">
        <f>IF(ISBLANK(K93), "", IF(UPPER(TRIM(K93))="A", "✅ Đúng", "❌ Sai"))</f>
        <v/>
      </c>
      <c r="M93" s="7">
        <f>COUNTIF(H93, "❌ Sai") + COUNTIF(J93, "❌ Sai") + COUNTIF(L93, "❌ Sai")</f>
        <v/>
      </c>
      <c r="N93" s="7">
        <f>IF(ISBLANK(G93), "⏳ Chờ làm", IF(H93="✅ Đúng", "✅ Đúng ngay L1", IF(J93="✅ Đúng", "✅ Đúng ở L2", IF(L93="✅ Đúng", "✅ Đúng ở L3", "❌ Chưa đúng sau 3 lần"))))</f>
        <v/>
      </c>
      <c r="O93" s="13">
        <f>IF(ISBLANK(F93), "💡 Nhập đáp án vào Lần thử 1", IF(G93="✅ Đúng", "✨ Xuất sắc! Bạn đã làm đúng.", "💡 Gợi ý: " &amp; "Thế phương trình đường thẳng vào phương trình đường tròn để giải tìm tọa độ giao điểm."))</f>
        <v/>
      </c>
      <c r="P93" s="5">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Q93" s="5">
        <f>IF(OR(H93="✅ Đúng", J93="✅ Đúng", L93="✅ Đúng"), "Substitute (-7, -sqrt(15)) into line equation =&gt; -sqrt(15) = -7m + b/2 =&gt; b = 14m - 2*sqrt(15).", "🔒 Trả lời đúng để mở khóa Strategic Tip!")</f>
        <v/>
      </c>
    </row>
    <row r="94" ht="15.75" customHeight="1" s="19">
      <c r="A94" s="7" t="inlineStr">
        <is>
          <t>M90</t>
        </is>
      </c>
      <c r="B94" s="7" t="inlineStr">
        <is>
          <t>Math Module 2</t>
        </is>
      </c>
      <c r="C94" s="5" t="inlineStr">
        <is>
          <t>Geometry (Similar Triangles)</t>
        </is>
      </c>
      <c r="D94" s="5" t="inlineStr">
        <is>
          <t>In triangle ABC, DE is parallel to AC, BD = AD, BE = 9, and AC = 8.</t>
        </is>
      </c>
      <c r="E94" s="5" t="inlineStr">
        <is>
          <t>Calculator Allowed. What is the length of BC?</t>
        </is>
      </c>
      <c r="F94" s="5" t="inlineStr">
        <is>
          <t>A. Lựa chọn A
B. Lựa chọn B
C. Lựa chọn C
D. Lựa chọn D</t>
        </is>
      </c>
      <c r="G94" s="14" t="n"/>
      <c r="H94" s="7">
        <f>IF(ISBLANK(G94), "⏳ Chờ đáp án", IF(UPPER(TRIM(G94))="B", "✅ Đúng", "❌ Sai"))</f>
        <v/>
      </c>
      <c r="I94" s="14" t="n"/>
      <c r="J94" s="7">
        <f>IF(ISBLANK(I94), "", IF(UPPER(TRIM(I94))="B", "✅ Đúng", "❌ Sai"))</f>
        <v/>
      </c>
      <c r="K94" s="14" t="n"/>
      <c r="L94" s="7">
        <f>IF(ISBLANK(K94), "", IF(UPPER(TRIM(K94))="B", "✅ Đúng", "❌ Sai"))</f>
        <v/>
      </c>
      <c r="M94" s="7">
        <f>COUNTIF(H94, "❌ Sai") + COUNTIF(J94, "❌ Sai") + COUNTIF(L94, "❌ Sai")</f>
        <v/>
      </c>
      <c r="N94" s="7">
        <f>IF(ISBLANK(G94), "⏳ Chờ làm", IF(H94="✅ Đúng", "✅ Đúng ngay L1", IF(J94="✅ Đúng", "✅ Đúng ở L2", IF(L94="✅ Đúng", "✅ Đúng ở L3", "❌ Chưa đúng sau 3 lần"))))</f>
        <v/>
      </c>
      <c r="O94" s="13">
        <f>IF(ISBLANK(F94), "💡 Nhập đáp án vào Lần thử 1", IF(G94="✅ Đúng", "✨ Xuất sắc! Bạn đã làm đúng.", "💡 Gợi ý: " &amp; "Sử dụng tính chất tam giác đồng dạng hoặc đường trung bình để tính độ dài đoạn thẳng tương ứng."))</f>
        <v/>
      </c>
      <c r="P94" s="5">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Q94" s="5">
        <f>IF(OR(H94="✅ Đúng", J94="✅ Đúng", L94="✅ Đúng"), "Midpoint Segment Theorem: BC = 2 * BE = 18.", "🔒 Trả lời đúng để mở khóa Strategic Tip!")</f>
        <v/>
      </c>
    </row>
    <row r="95" ht="15.75" customHeight="1" s="19">
      <c r="A95" s="7" t="inlineStr">
        <is>
          <t>M91</t>
        </is>
      </c>
      <c r="B95" s="7" t="inlineStr">
        <is>
          <t>Math Module 2</t>
        </is>
      </c>
      <c r="C95" s="5" t="inlineStr">
        <is>
          <t>Systems of Equations Evaluation</t>
        </is>
      </c>
      <c r="D95" s="5" t="inlineStr">
        <is>
          <t>System of equations: 2x + 3y = 19 and 2x - y = 3.</t>
        </is>
      </c>
      <c r="E95" s="5" t="inlineStr">
        <is>
          <t>Calculator Allowed. What is the value of x + y?</t>
        </is>
      </c>
      <c r="F95" s="5" t="inlineStr">
        <is>
          <t>A. Lựa chọn A
B. Lựa chọn B
C. Lựa chọn C
D. Lựa chọn D</t>
        </is>
      </c>
      <c r="G95" s="14" t="n"/>
      <c r="H95" s="7">
        <f>IF(ISBLANK(G95), "⏳ Chờ đáp án", IF(UPPER(TRIM(G95))="C", "✅ Đúng", "❌ Sai"))</f>
        <v/>
      </c>
      <c r="I95" s="14" t="n"/>
      <c r="J95" s="7">
        <f>IF(ISBLANK(I95), "", IF(UPPER(TRIM(I95))="C", "✅ Đúng", "❌ Sai"))</f>
        <v/>
      </c>
      <c r="K95" s="14" t="n"/>
      <c r="L95" s="7">
        <f>IF(ISBLANK(K95), "", IF(UPPER(TRIM(K95))="C", "✅ Đúng", "❌ Sai"))</f>
        <v/>
      </c>
      <c r="M95" s="7">
        <f>COUNTIF(H95, "❌ Sai") + COUNTIF(J95, "❌ Sai") + COUNTIF(L95, "❌ Sai")</f>
        <v/>
      </c>
      <c r="N95" s="7">
        <f>IF(ISBLANK(G95), "⏳ Chờ làm", IF(H95="✅ Đúng", "✅ Đúng ngay L1", IF(J95="✅ Đúng", "✅ Đúng ở L2", IF(L95="✅ Đúng", "✅ Đúng ở L3", "❌ Chưa đúng sau 3 lần"))))</f>
        <v/>
      </c>
      <c r="O95" s="13">
        <f>IF(ISBLANK(F95), "💡 Nhập đáp án vào Lần thử 1", IF(G95="✅ Đúng", "✨ Xuất sắc! Bạn đã làm đúng.", "💡 Gợi ý: " &amp; "Trừ hoặc cộng hai phương trình theo vế để tìm giá trị x, y rồi tính biểu thức cần tìm."))</f>
        <v/>
      </c>
      <c r="P95" s="5">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Q95" s="5">
        <f>IF(OR(H95="✅ Đúng", J95="✅ Đúng", L95="✅ Đúng"), "Solve system: y = 4, x = 3 =&gt; x + y = 7.", "🔒 Trả lời đúng để mở khóa Strategic Tip!")</f>
        <v/>
      </c>
    </row>
    <row r="96" ht="15.75" customHeight="1" s="19">
      <c r="A96" s="7" t="inlineStr">
        <is>
          <t>M92</t>
        </is>
      </c>
      <c r="B96" s="7" t="inlineStr">
        <is>
          <t>Math Module 2</t>
        </is>
      </c>
      <c r="C96" s="5" t="inlineStr">
        <is>
          <t>Statistics (Sampling Bias)</t>
        </is>
      </c>
      <c r="D96" s="5" t="inlineStr">
        <is>
          <t>A study on melatonin levels sampled 125 gamers from 3 countries (Sweden 25, South Korea 49, US 51).</t>
        </is>
      </c>
      <c r="E96" s="5" t="inlineStr">
        <is>
          <t>Calculator Allowed. Which aspect prevents the results from being generalized to ALL gamers globally?</t>
        </is>
      </c>
      <c r="F96" s="5" t="inlineStr">
        <is>
          <t>A. Lựa chọn A
B. Lựa chọn B
C. Lựa chọn C
D. Lựa chọn D</t>
        </is>
      </c>
      <c r="G96" s="14" t="n"/>
      <c r="H96" s="7">
        <f>IF(ISBLANK(G96), "⏳ Chờ đáp án", IF(UPPER(TRIM(G96))="A", "✅ Đúng", "❌ Sai"))</f>
        <v/>
      </c>
      <c r="I96" s="14" t="n"/>
      <c r="J96" s="7">
        <f>IF(ISBLANK(I96), "", IF(UPPER(TRIM(I96))="A", "✅ Đúng", "❌ Sai"))</f>
        <v/>
      </c>
      <c r="K96" s="14" t="n"/>
      <c r="L96" s="7">
        <f>IF(ISBLANK(K96), "", IF(UPPER(TRIM(K96))="A", "✅ Đúng", "❌ Sai"))</f>
        <v/>
      </c>
      <c r="M96" s="7">
        <f>COUNTIF(H96, "❌ Sai") + COUNTIF(J96, "❌ Sai") + COUNTIF(L96, "❌ Sai")</f>
        <v/>
      </c>
      <c r="N96" s="7">
        <f>IF(ISBLANK(G96), "⏳ Chờ làm", IF(H96="✅ Đúng", "✅ Đúng ngay L1", IF(J96="✅ Đúng", "✅ Đúng ở L2", IF(L96="✅ Đúng", "✅ Đúng ở L3", "❌ Chưa đúng sau 3 lần"))))</f>
        <v/>
      </c>
      <c r="O96" s="13">
        <f>IF(ISBLANK(F96), "💡 Nhập đáp án vào Lần thử 1", IF(G96="✅ Đúng", "✨ Xuất sắc! Bạn đã làm đúng.", "💡 Gợi ý: " &amp; "Đánh giá tính đại diện của mẫu khảo sát; mẫu không ngẫu nhiên hoặc bị giới hạn phạm vi sẽ gây ra sai số chọn mẫu."))</f>
        <v/>
      </c>
      <c r="P96" s="5">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Q96" s="5">
        <f>IF(OR(H96="✅ Đúng", J96="✅ Đúng", L96="✅ Đúng"), "Generalizability requires random sampling from the target population.", "🔒 Trả lời đúng để mở khóa Strategic Tip!")</f>
        <v/>
      </c>
    </row>
    <row r="97" ht="15.75" customHeight="1" s="19">
      <c r="A97" s="7" t="inlineStr">
        <is>
          <t>M93</t>
        </is>
      </c>
      <c r="B97" s="7" t="inlineStr">
        <is>
          <t>Math Module 2</t>
        </is>
      </c>
      <c r="C97" s="5" t="inlineStr">
        <is>
          <t>Trigonometry (Right Triangle Ratios)</t>
        </is>
      </c>
      <c r="D97" s="5" t="inlineStr">
        <is>
          <t>In right triangle ABC with right angle C = 90 deg, cos A = 5/13.</t>
        </is>
      </c>
      <c r="E97" s="5" t="inlineStr">
        <is>
          <t>Calculator Allowed. What is the value of tan A?</t>
        </is>
      </c>
      <c r="F97" s="5" t="inlineStr">
        <is>
          <t>A. Lựa chọn A
B. Lựa chọn B
C. Lựa chọn C
D. Lựa chọn D</t>
        </is>
      </c>
      <c r="G97" s="14" t="n"/>
      <c r="H97" s="7">
        <f>IF(ISBLANK(G97), "⏳ Chờ đáp án", IF(UPPER(TRIM(G97))="A", "✅ Đúng", "❌ Sai"))</f>
        <v/>
      </c>
      <c r="I97" s="14" t="n"/>
      <c r="J97" s="7">
        <f>IF(ISBLANK(I97), "", IF(UPPER(TRIM(I97))="A", "✅ Đúng", "❌ Sai"))</f>
        <v/>
      </c>
      <c r="K97" s="14" t="n"/>
      <c r="L97" s="7">
        <f>IF(ISBLANK(K97), "", IF(UPPER(TRIM(K97))="A", "✅ Đúng", "❌ Sai"))</f>
        <v/>
      </c>
      <c r="M97" s="7">
        <f>COUNTIF(H97, "❌ Sai") + COUNTIF(J97, "❌ Sai") + COUNTIF(L97, "❌ Sai")</f>
        <v/>
      </c>
      <c r="N97" s="7">
        <f>IF(ISBLANK(G97), "⏳ Chờ làm", IF(H97="✅ Đúng", "✅ Đúng ngay L1", IF(J97="✅ Đúng", "✅ Đúng ở L2", IF(L97="✅ Đúng", "✅ Đúng ở L3", "❌ Chưa đúng sau 3 lần"))))</f>
        <v/>
      </c>
      <c r="O97" s="13">
        <f>IF(ISBLANK(F97), "💡 Nhập đáp án vào Lần thử 1", IF(G97="✅ Đúng", "✨ Xuất sắc! Bạn đã làm đúng.", "💡 Gợi ý: " &amp; "Sử dụng bộ ba số Pitago và các tỉ số lượng giác cơ bản (sin, cos, tan) trong tam giác vuông."))</f>
        <v/>
      </c>
      <c r="P97" s="5">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c>
      <c r="Q97" s="5">
        <f>IF(OR(H97="✅ Đúng", J97="✅ Đúng", L97="✅ Đúng"), "5-12-13 Right Triangle: cos A = 5/13 =&gt; sin A = 12/13 =&gt; tan A = 12/5.", "🔒 Trả lời đúng để mở khóa Strategic Tip!")</f>
        <v/>
      </c>
    </row>
    <row r="98" ht="15.75" customHeight="1" s="19">
      <c r="A98" s="7" t="inlineStr">
        <is>
          <t>M94</t>
        </is>
      </c>
      <c r="B98" s="7" t="inlineStr">
        <is>
          <t>Math Module 2</t>
        </is>
      </c>
      <c r="C98" s="5" t="inlineStr">
        <is>
          <t>Percentages (Percent Increase)</t>
        </is>
      </c>
      <c r="D98" s="5" t="inlineStr">
        <is>
          <t>Guests used the pool for t hours in March and 3.41t hours in April.</t>
        </is>
      </c>
      <c r="E98" s="5" t="inlineStr">
        <is>
          <t>Calculator Allowed. What is the percent increase in pool usage from March to April?</t>
        </is>
      </c>
      <c r="F98" s="5" t="inlineStr">
        <is>
          <t>A. Lựa chọn A
B. Lựa chọn B
C. Lựa chọn C
D. Lựa chọn D</t>
        </is>
      </c>
      <c r="G98" s="14" t="n"/>
      <c r="H98" s="7">
        <f>IF(ISBLANK(G98), "⏳ Chờ đáp án", IF(UPPER(TRIM(G98))="C", "✅ Đúng", "❌ Sai"))</f>
        <v/>
      </c>
      <c r="I98" s="14" t="n"/>
      <c r="J98" s="7">
        <f>IF(ISBLANK(I98), "", IF(UPPER(TRIM(I98))="C", "✅ Đúng", "❌ Sai"))</f>
        <v/>
      </c>
      <c r="K98" s="14" t="n"/>
      <c r="L98" s="7">
        <f>IF(ISBLANK(K98), "", IF(UPPER(TRIM(K98))="C", "✅ Đúng", "❌ Sai"))</f>
        <v/>
      </c>
      <c r="M98" s="7">
        <f>COUNTIF(H98, "❌ Sai") + COUNTIF(J98, "❌ Sai") + COUNTIF(L98, "❌ Sai")</f>
        <v/>
      </c>
      <c r="N98" s="7">
        <f>IF(ISBLANK(G98), "⏳ Chờ làm", IF(H98="✅ Đúng", "✅ Đúng ngay L1", IF(J98="✅ Đúng", "✅ Đúng ở L2", IF(L98="✅ Đúng", "✅ Đúng ở L3", "❌ Chưa đúng sau 3 lần"))))</f>
        <v/>
      </c>
      <c r="O98" s="13">
        <f>IF(ISBLANK(F98), "💡 Nhập đáp án vào Lần thử 1", IF(G98="✅ Đúng", "✨ Xuất sắc! Bạn đã làm đúng.", "💡 Gợi ý: " &amp; "Sử dụng công thức tính tỉ lệ phần trăm tăng: Percent Increase = (Giá trị mới - Giá trị cũ) / Giá trị cũ * 100%."))</f>
        <v/>
      </c>
      <c r="P98" s="5">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c>
      <c r="Q98" s="5">
        <f>IF(OR(H98="✅ Đúng", J98="✅ Đúng", L98="✅ Đúng"), "Percent Increase = (3.41 - 1) * 100% = 241%.", "🔒 Trả lời đúng để mở khóa Strategic Tip!")</f>
        <v/>
      </c>
    </row>
    <row r="99" ht="15.75" customHeight="1" s="19">
      <c r="A99" s="7" t="inlineStr">
        <is>
          <t>M95</t>
        </is>
      </c>
      <c r="B99" s="7" t="inlineStr">
        <is>
          <t>Math Module 2</t>
        </is>
      </c>
      <c r="C99" s="5" t="inlineStr">
        <is>
          <t>Algebraic Expansion &amp; Coefficients</t>
        </is>
      </c>
      <c r="D99" s="5" t="inlineStr">
        <is>
          <t>The expression [4(3x - 4)^2 + 6(3x - 2)^2] / 4 can be rewritten as (a/4)x^2 + (b/4)x + (c/4).</t>
        </is>
      </c>
      <c r="E99" s="5" t="inlineStr">
        <is>
          <t>Calculator Allowed. What is the value of a + b + c?</t>
        </is>
      </c>
      <c r="F99" s="5" t="inlineStr">
        <is>
          <t>A. Lựa chọn A
B. Lựa chọn B
C. Lựa chọn C
D. Lựa chọn D</t>
        </is>
      </c>
      <c r="G99" s="14" t="n"/>
      <c r="H99" s="7">
        <f>IF(ISBLANK(G99), "⏳ Chờ đáp án", IF(UPPER(TRIM(G99))="A", "✅ Đúng", "❌ Sai"))</f>
        <v/>
      </c>
      <c r="I99" s="14" t="n"/>
      <c r="J99" s="7">
        <f>IF(ISBLANK(I99), "", IF(UPPER(TRIM(I99))="A", "✅ Đúng", "❌ Sai"))</f>
        <v/>
      </c>
      <c r="K99" s="14" t="n"/>
      <c r="L99" s="7">
        <f>IF(ISBLANK(K99), "", IF(UPPER(TRIM(K99))="A", "✅ Đúng", "❌ Sai"))</f>
        <v/>
      </c>
      <c r="M99" s="7">
        <f>COUNTIF(H99, "❌ Sai") + COUNTIF(J99, "❌ Sai") + COUNTIF(L99, "❌ Sai")</f>
        <v/>
      </c>
      <c r="N99" s="7">
        <f>IF(ISBLANK(G99), "⏳ Chờ làm", IF(H99="✅ Đúng", "✅ Đúng ngay L1", IF(J99="✅ Đúng", "✅ Đúng ở L2", IF(L99="✅ Đúng", "✅ Đúng ở L3", "❌ Chưa đúng sau 3 lần"))))</f>
        <v/>
      </c>
      <c r="O99" s="13">
        <f>IF(ISBLANK(F99), "💡 Nhập đáp án vào Lần thử 1", IF(G99="✅ Đúng", "✨ Xuất sắc! Bạn đã làm đúng.", "💡 Gợi ý: " &amp; "Khai triển và thu gọn biểu thức đại số, sau đó đồng nhất các hệ số tương ứng."))</f>
        <v/>
      </c>
      <c r="P99" s="5">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c>
      <c r="Q99" s="5">
        <f>IF(OR(H99="✅ Đúng", J99="✅ Đúng", L99="✅ Đúng"), "Evaluate at x = 1 to find sum of coefficients a + b + c.", "🔒 Trả lời đúng để mở khóa Strategic Tip!")</f>
        <v/>
      </c>
    </row>
    <row r="100" ht="15.75" customHeight="1" s="19">
      <c r="A100" s="7" t="inlineStr">
        <is>
          <t>M96</t>
        </is>
      </c>
      <c r="B100" s="7" t="inlineStr">
        <is>
          <t>Math Module 2</t>
        </is>
      </c>
      <c r="C100" s="5" t="inlineStr">
        <is>
          <t>Consecutive Integers Inequality</t>
        </is>
      </c>
      <c r="D100" s="5" t="inlineStr">
        <is>
          <t>The sum of three consecutive even integers is less than 123. The least integer is x.</t>
        </is>
      </c>
      <c r="E100" s="5" t="inlineStr">
        <is>
          <t>Calculator Allowed. What is the greatest possible value of x?</t>
        </is>
      </c>
      <c r="F100" s="5" t="inlineStr">
        <is>
          <t>A. Lựa chọn A
B. Lựa chọn B
C. Lựa chọn C
D. Lựa chọn D</t>
        </is>
      </c>
      <c r="G100" s="14" t="n"/>
      <c r="H100" s="7">
        <f>IF(ISBLANK(G100), "⏳ Chờ đáp án", IF(UPPER(TRIM(G100))="D", "✅ Đúng", "❌ Sai"))</f>
        <v/>
      </c>
      <c r="I100" s="14" t="n"/>
      <c r="J100" s="7">
        <f>IF(ISBLANK(I100), "", IF(UPPER(TRIM(I100))="D", "✅ Đúng", "❌ Sai"))</f>
        <v/>
      </c>
      <c r="K100" s="14" t="n"/>
      <c r="L100" s="7">
        <f>IF(ISBLANK(K100), "", IF(UPPER(TRIM(K100))="D", "✅ Đúng", "❌ Sai"))</f>
        <v/>
      </c>
      <c r="M100" s="7">
        <f>COUNTIF(H100, "❌ Sai") + COUNTIF(J100, "❌ Sai") + COUNTIF(L100, "❌ Sai")</f>
        <v/>
      </c>
      <c r="N100" s="7">
        <f>IF(ISBLANK(G100), "⏳ Chờ làm", IF(H100="✅ Đúng", "✅ Đúng ngay L1", IF(J100="✅ Đúng", "✅ Đúng ở L2", IF(L100="✅ Đúng", "✅ Đúng ở L3", "❌ Chưa đúng sau 3 lần"))))</f>
        <v/>
      </c>
      <c r="O100" s="13">
        <f>IF(ISBLANK(F100), "💡 Nhập đáp án vào Lần thử 1", IF(G100="✅ Đúng", "✨ Xuất sắc! Bạn đã làm đúng.", "💡 Gợi ý: " &amp; "Lập bất phương trình cho tổng các số nguyên liên tiếp và giải tìm giá trị số nguyên thỏa mãn."))</f>
        <v/>
      </c>
      <c r="P100" s="5">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Q100" s="5">
        <f>IF(OR(H100="✅ Đúng", J100="✅ Đúng", L100="✅ Đúng"), "3x + 6 &lt; 123 =&gt; x &lt; 39. Greatest even integer is 38.", "🔒 Trả lời đúng để mở khóa Strategic Tip!")</f>
        <v/>
      </c>
    </row>
    <row r="101" ht="15.75" customHeight="1" s="19">
      <c r="A101" s="7" t="inlineStr">
        <is>
          <t>M97</t>
        </is>
      </c>
      <c r="B101" s="7" t="inlineStr">
        <is>
          <t>Math Module 2</t>
        </is>
      </c>
      <c r="C101" s="5" t="inlineStr">
        <is>
          <t>Similar 3D Solids (Area &amp; Volume Ratios)</t>
        </is>
      </c>
      <c r="D101" s="5" t="inlineStr">
        <is>
          <t>Prism X is similar to Prism Y. Surface area X = 52 cm^2, Surface area Y = 832 cm^2. Volume X = 10.5 cm^3.</t>
        </is>
      </c>
      <c r="E101" s="5" t="inlineStr">
        <is>
          <t>Calculator Allowed. What is the volume, in cm^3, of right rectangular prism Y?</t>
        </is>
      </c>
      <c r="F101" s="5" t="inlineStr">
        <is>
          <t>Student-Produced Response (Grid-in)</t>
        </is>
      </c>
      <c r="G101" s="14" t="n"/>
      <c r="H101" s="7">
        <f>IF(ISBLANK(G101), "⏳ Chờ đáp án", IF(UPPER(TRIM(G101))="672", "✅ Đúng", "❌ Sai"))</f>
        <v/>
      </c>
      <c r="I101" s="14" t="n"/>
      <c r="J101" s="7">
        <f>IF(ISBLANK(I101), "", IF(UPPER(TRIM(I101))="672", "✅ Đúng", "❌ Sai"))</f>
        <v/>
      </c>
      <c r="K101" s="14" t="n"/>
      <c r="L101" s="7">
        <f>IF(ISBLANK(K101), "", IF(UPPER(TRIM(K101))="672", "✅ Đúng", "❌ Sai"))</f>
        <v/>
      </c>
      <c r="M101" s="7">
        <f>COUNTIF(H101, "❌ Sai") + COUNTIF(J101, "❌ Sai") + COUNTIF(L101, "❌ Sai")</f>
        <v/>
      </c>
      <c r="N101" s="7">
        <f>IF(ISBLANK(G101), "⏳ Chờ làm", IF(H101="✅ Đúng", "✅ Đúng ngay L1", IF(J101="✅ Đúng", "✅ Đúng ở L2", IF(L101="✅ Đúng", "✅ Đúng ở L3", "❌ Chưa đúng sau 3 lần"))))</f>
        <v/>
      </c>
      <c r="O101" s="13">
        <f>IF(ISBLANK(F101), "💡 Nhập đáp án vào Lần thử 1", IF(G101="✅ Đúng", "✨ Xuất sắc! Bạn đã làm đúng.", "💡 Gợi ý: " &amp; "Nếu hai hình đồng dạng có tỉ lệ chiều dài là k, thì tỉ lệ diện tích là k^2 và tỉ lệ thể tích là k^3."))</f>
        <v/>
      </c>
      <c r="P101" s="5">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Q101" s="5">
        <f>IF(OR(H101="✅ Đúng", J101="✅ Đúng", L101="✅ Đúng"), "Area ratio k^2 = 16 =&gt; k = 4 =&gt; Volume ratio k^3 = 64 =&gt; Vol Y = 10.5 * 64 = 672.", "🔒 Trả lời đúng để mở khóa Strategic Tip!")</f>
        <v/>
      </c>
    </row>
    <row r="102" ht="15.75" customHeight="1" s="19">
      <c r="A102" s="7" t="inlineStr">
        <is>
          <t>M98</t>
        </is>
      </c>
      <c r="B102" s="7" t="inlineStr">
        <is>
          <t>Math Module 2</t>
        </is>
      </c>
      <c r="C102" s="5" t="inlineStr">
        <is>
          <t>Quadratic Equation (Sum of Roots)</t>
        </is>
      </c>
      <c r="D102" s="5" t="inlineStr">
        <is>
          <t>Equation: 18(w - a)(w + 5) = 6(w + 5). The sum of solutions is 37/3.</t>
        </is>
      </c>
      <c r="E102" s="5" t="inlineStr">
        <is>
          <t>Calculator Allowed. What is the value of a?</t>
        </is>
      </c>
      <c r="F102" s="5" t="inlineStr">
        <is>
          <t>Student-Produced Response (Grid-in)</t>
        </is>
      </c>
      <c r="G102" s="14" t="n"/>
      <c r="H102" s="7">
        <f>IF(ISBLANK(G102), "⏳ Chờ đáp án", IF(UPPER(TRIM(G102))="17", "✅ Đúng", "❌ Sai"))</f>
        <v/>
      </c>
      <c r="I102" s="14" t="n"/>
      <c r="J102" s="7">
        <f>IF(ISBLANK(I102), "", IF(UPPER(TRIM(I102))="17", "✅ Đúng", "❌ Sai"))</f>
        <v/>
      </c>
      <c r="K102" s="14" t="n"/>
      <c r="L102" s="7">
        <f>IF(ISBLANK(K102), "", IF(UPPER(TRIM(K102))="17", "✅ Đúng", "❌ Sai"))</f>
        <v/>
      </c>
      <c r="M102" s="7">
        <f>COUNTIF(H102, "❌ Sai") + COUNTIF(J102, "❌ Sai") + COUNTIF(L102, "❌ Sai")</f>
        <v/>
      </c>
      <c r="N102" s="7">
        <f>IF(ISBLANK(G102), "⏳ Chờ làm", IF(H102="✅ Đúng", "✅ Đúng ngay L1", IF(J102="✅ Đúng", "✅ Đúng ở L2", IF(L102="✅ Đúng", "✅ Đúng ở L3", "❌ Chưa đúng sau 3 lần"))))</f>
        <v/>
      </c>
      <c r="O102" s="13">
        <f>IF(ISBLANK(F102), "💡 Nhập đáp án vào Lần thử 1", IF(G102="✅ Đúng", "✨ Xuất sắc! Bạn đã làm đúng.", "💡 Gợi ý: " &amp; "Sử dụng định lý Viète về tổng các nghiệm x1 + x2 = -b/a hoặc biến đổi phương trình về dạng tích."))</f>
        <v/>
      </c>
      <c r="P102" s="5">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c>
      <c r="Q102" s="5">
        <f>IF(OR(H102="✅ Đúng", J102="✅ Đúng", L102="✅ Đúng"), "Roots are w1 = -5 and w2 = a + 1/3 =&gt; -5 + a + 1/3 = 37/3 =&gt; a = 17.", "🔒 Trả lời đúng để mở khóa Strategic Tip!")</f>
        <v/>
      </c>
    </row>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2026-10-26T07:34:27Z</dcterms:created>
  <dcterms:modified xmlns:dcterms="http://purl.org/dc/terms/" xmlns:xsi="http://www.w3.org/2001/XMLSchema-instance" xsi:type="dcterms:W3CDTF">2026-10-30T05:30:35Z</dcterms:modified>
</cp:coreProperties>
</file>