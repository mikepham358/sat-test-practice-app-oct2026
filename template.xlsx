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lỗi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4"/>
    <row r="5"/>
    <row r="6">
      <c r="A6" s="35" t="n"/>
      <c r="D6" s="35" t="n"/>
      <c r="G6" s="35" t="n"/>
    </row>
    <row r="7">
      <c r="A7" s="5" t="n"/>
      <c r="D7" s="5" t="n"/>
      <c r="G7" s="5" t="n"/>
    </row>
    <row r="8">
      <c r="A8" s="5" t="n"/>
      <c r="D8" s="5" t="n"/>
      <c r="G8" s="5" t="n"/>
    </row>
    <row r="9">
      <c r="A9" s="5" t="n"/>
      <c r="D9" s="5" t="n"/>
      <c r="G9" s="5" t="n"/>
    </row>
    <row r="10">
      <c r="D10" s="5" t="n"/>
    </row>
    <row r="11"/>
    <row r="12"/>
    <row r="13">
      <c r="A13" s="1" t="n"/>
    </row>
    <row r="14"/>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the source of a malfunction in a complex electrical system can be a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Adapting
B. Isolating
C. Incorporating
D. Fabricating</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 internal salt levels? Some organisms maintain high concentrations of phosphates that allow them to affect the concentration of internal electrolytes—including salt—in response to external changes.</t>
        </is>
      </c>
      <c r="D6" s="5" t="inlineStr">
        <is>
          <t>Which choice completes the text with the most logical and precise word or phrase?</t>
        </is>
      </c>
      <c r="E6" s="5" t="inlineStr">
        <is>
          <t>A. counteract
B. elude
C. tolerate
D. regulate</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predictable
B. innovative
C. idealistic
D. superficial</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basic computer security training that only teaches recognition of obvious scams cannot provide _____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uncommon
B. superficial
C. sufficient
D. affordable</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It lists the number of cities in one country, then compares that number to another country.
B. It poses a question, then explains why the question has many answers.
C. It offers a recommendation, then provides reasons for that recommendation.
D. It describes two locations, then explains why only one is considered a city.</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Adapted from William Faulkner's 1940 novel The Hamlet...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t>
        </is>
      </c>
      <c r="D10" s="5" t="inlineStr">
        <is>
          <t>Which choice best states the main purpose of the text?</t>
        </is>
      </c>
      <c r="E10" s="5" t="inlineStr">
        <is>
          <t>A. To contrast the man's desire to attend the meeting with his awareness of risk.
B. To compare the upcoming meeting to a far more serious experience from earlier.
C. To depict the man's insistence on meeting despite the inconvenience.
D. To portray the man's anxiety about the meeting as reflected by his physical state and demeanor.</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and environmental work. Arborists assess tree health and perform maintenance... Forestry technicians collect data... Forest ecologists conduct field research... With this blend of scientific understanding and practical application, forestry professionals address a variety of complex environmental challenges.</t>
        </is>
      </c>
      <c r="D11" s="5" t="inlineStr">
        <is>
          <t>Which choice best describes the main purpose of the text?</t>
        </is>
      </c>
      <c r="E11" s="5" t="inlineStr">
        <is>
          <t>A. To explain technological advances in modern forestry.
B. To analyze environmental problems facing forests.
C. To compare career security across forestry positions.
D. To highlight career opportunities in modern forestry and describe how they integrate scientific knowledge and hands-on work.</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By activating only the medium cones in the retina
B. By activating the long, medium, and short cones in the retina
C. By activating both the long and short cones in the retina
D. By activating only the long cones in the retina</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 xml:space="preserve">A student is collecting data about countries with volcanoes that have been active in the time since 1800 and in the time since 1960. The student records that Ethiopia has _____ </t>
        </is>
      </c>
      <c r="D13" s="5" t="inlineStr">
        <is>
          <t>Which choice most effectively uses data from the graph to complete the statement?</t>
        </is>
      </c>
      <c r="E13" s="5" t="inlineStr">
        <is>
          <t>A. the same number of volcanoes active since 1800 as Tanzania.
B. no volcanoes active since 1800.
C. more volcanoes that have been active since 1960 than Tanzania has.
D. fewer volcanoes that have been active since 1960 than Tanzania has.</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2023 anthology The Big Book of Cyberpunk... Shurin defines cyberpunk as a subgenre concerning 'the influence of technology on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'Not all the stories anthologized in The Big Book of Cyberpunk were first published in journals...'
B. 'The stories in The Big Book of Cyberpunk share a number of common themes...'
C. 'Shurin's characterization of cyberpunk is remarkably generous...'
D. 'A key component of cyberpunk that differentiates it from other subgenres of science fiction is an affection for the totems of 1980s pop culture, such as the mirrored sunglasses that were then popular.'</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didn't result from an overall contraction of that sector, since the total number of employees in that sector increased by several thousand during this period.
B. It was offset by changes in leisure and hospitality businesses...
C. It was driven primarily by changes in businesses classified as 'other'...
D. It resulted from widespread workforce redistributions...</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Tax Penalties Assessed on Private Foundations That Filed Form 4720, by Reason, 2003-2005... Out of the organizations that filed Form 990-PF in the years 2003-2005...</t>
        </is>
      </c>
      <c r="D16" s="5" t="inlineStr">
        <is>
          <t>Which choice most effectively uses data from the graph to complete the assertion?</t>
        </is>
      </c>
      <c r="E16" s="5" t="inlineStr">
        <is>
          <t>A. those that filed Form 4720 because they had excess holdings paid a larger penalty...
B. those that filed Form 4720 because they engaged in self-dealing...
C. those that filed Form 4720 in 2003 because they failed to meet the minimum requirement collectively paid a larger percentage of the total penalty assessed that year than those that filed Form 4720 in 2005 for the same reason.
D. those that filed Form 4720 in 2005 because...</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Odysseus suggests that the plan for returning with Philoctetes rests on Neoptolemus not having been part of the group that abandoned him:</t>
        </is>
      </c>
      <c r="D17" s="5" t="inlineStr">
        <is>
          <t>Which quotation from Philoctetes most effectively illustrates the claim?</t>
        </is>
      </c>
      <c r="E17" s="5" t="inlineStr">
        <is>
          <t>A. 'Since the prize of victory is so dear, / Endure it...'
B. 'Go near now silently, and make me know...'
C. 'Now let me show, why thine approach to him / Is safe and trustful as mine cannot be / Thou didst sail forth, not to redeem thine oath, / Nor by constraint, nor with the foremost band.'
D. 'No moment for this talk, / Lest he discern my coming...'</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 xml:space="preserve">Louis-Ferdinand Céline's 1932 novel Journey to the End of the Night is regularly described as autobiographical. That characterization is apt... Much of the novel is pure invention, and readers who overlook this fact and instead focus excessively on correspondences between the novel and Céline's life can thus _____ </t>
        </is>
      </c>
      <c r="D18" s="5" t="inlineStr">
        <is>
          <t>Which choice most logically completes the text?</t>
        </is>
      </c>
      <c r="E18" s="5" t="inlineStr">
        <is>
          <t>A. fail to appreciate how much creativity Céline shows in the book.
B. overemphasize the extent to which Céline took inspiration from earlier writers.
C. refuse to acknowledge that Céline drew on real-world material...
D. misrepresent Journey to the End of the Night as being more widely read than it actually was.</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 xml:space="preserve">Last-mile delivery... is subject to increasing pressure... One advance is the use of self-service lockers. This approach, while convenient, introduces new obstacles (e.g., placement is challenging). It is therefore likely that _____ </t>
        </is>
      </c>
      <c r="D19" s="5" t="inlineStr">
        <is>
          <t>Which choice most logically completes the text?</t>
        </is>
      </c>
      <c r="E19" s="5" t="inlineStr">
        <is>
          <t>A. delivery companies will need to keep experimenting with new ideas for last-mile delivery if they hope to keep pace with consumers' expectations.
B. delivery companies will continue promising next-day delivery...
C. advances in last-mile technologies will slow...
D. innovations in the use of self-service lockers will stall...</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 travelers recommend, especially from June to September.</t>
        </is>
      </c>
      <c r="D20" s="5" t="inlineStr">
        <is>
          <t>Which choice completes the text so that it conforms to the conventions of Standard English?</t>
        </is>
      </c>
      <c r="E20" s="5" t="inlineStr">
        <is>
          <t>A. city, which
B. city in which
C. city that
D. city, that</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As nanotechnology evolves, medical technology _____ to evolve as well.</t>
        </is>
      </c>
      <c r="D21" s="5" t="inlineStr">
        <is>
          <t>Which choice completes the text so that it conforms to the conventions of Standard English?</t>
        </is>
      </c>
      <c r="E21" s="5" t="inlineStr">
        <is>
          <t>A. had likely continued
B. would likely have continued
C. had likely been continuing
D. will likely continue</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Anna Pavlova redesigned her pointe shoes. The modifications she made—adding a stiffened leather sole and hardened toe _____ began the modernization of ballet's iconic footwear.</t>
        </is>
      </c>
      <c r="D22" s="5" t="inlineStr">
        <is>
          <t>Which choice completes the text so that it conforms to the conventions of Standard English?</t>
        </is>
      </c>
      <c r="E22" s="5" t="inlineStr">
        <is>
          <t>A. box
B. box—
C. box,
D. box:</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The purpose of these ancient games was 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threefold. To
B. threefold: to
C. threefold; to
D. threefold to</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Solis's hypothesis about the Peruvian site's _____ nearly 5,000 years ago, the ancient city preceded the Olmec civilization to the north by a full millennium...</t>
        </is>
      </c>
      <c r="D24" s="5" t="inlineStr">
        <is>
          <t>Which choice completes the text so that it conforms to the conventions of Standard English?</t>
        </is>
      </c>
      <c r="E24" s="5" t="inlineStr">
        <is>
          <t>A. age, built
B. age: built
C. age and built
D. age built</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Commercial applications of this new synthetic dye technology—beginning with the purple dye called mauve, discovered by William Perkin in 1856— _____ responsible for launching what one science historian calls a 'manufacturing revolution based on chemistry.'</t>
        </is>
      </c>
      <c r="D25" s="5" t="inlineStr">
        <is>
          <t>Which choice completes the text so that it conforms to the conventions of Standard English?</t>
        </is>
      </c>
      <c r="E25" s="5" t="inlineStr">
        <is>
          <t>A. has been
B. is
C. were
D. was</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 tiny water droplets begin to form as the cooling air reaches its dew point... Finally, as more droplets accumulate, a visible layer of fog develops.</t>
        </is>
      </c>
      <c r="D26" s="5" t="inlineStr">
        <is>
          <t>Which choice completes the text with the most logical transition?</t>
        </is>
      </c>
      <c r="E26" s="5" t="inlineStr">
        <is>
          <t>A. Similarly,
B. Lastly,
C. Instead,
D. Next,</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 these endophytes help by fighting off diseases and boosting the tree's immune system.</t>
        </is>
      </c>
      <c r="D27" s="5" t="inlineStr">
        <is>
          <t>Which choice completes the text with the most logical transition?</t>
        </is>
      </c>
      <c r="E27" s="5" t="inlineStr">
        <is>
          <t>A. In conclusion,
B. Nevertheless,
C. Alternatively,
D. Specifically,</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Notes: Pistol shrimp are small marine crustaceans that hunt using a specialized oversized claw. When the claw snaps shut rapidly, it pushes water... bubble pops forcefully...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Some crustaceans use a specialized claw to create high-speed water jets...
B. Pistol shrimp are small marine creatures that use a specialized oversized claw to generate shock waves powerful enough to stun small fish.
C. Pushing water through a narrow groove at extreme speeds...
D. Pistol shrimp are preyed on by small marine crustaceans...</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Notes: Elizabeth Catlett (1915-2012) was a celebrated African American artist... best known for creating sculptures and prints... New Generation is a 1992 print... Standing Mother and Child is a 1980 sculpture.</t>
        </is>
      </c>
      <c r="D29" s="5" t="inlineStr">
        <is>
          <t>The student wants to provide an example of one of Catlett's sculptures. Which choice most effectively uses relevant information from the notes to accomplish this goal?</t>
        </is>
      </c>
      <c r="E29" s="5" t="inlineStr">
        <is>
          <t>A. The print New Generation was created by celebrated artist Elizabeth Catlett in 1992.
B. The sculpture Standing Mother and Child was created by celebrated artist Elizabeth Catlett in 1980.
C. Artist Elizabeth Catlett is best known for creating sculptures and prints...
D. Elizabeth Catlett, a celebrated artist, was born in 1915.</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Notes: Chapantongo is a municipality in Hidalgo, Mexico... Municipalities provide public services... Chapantongo's population was 12,967 in 2020. Its population was 12,271 in 2010.</t>
        </is>
      </c>
      <c r="D30" s="5" t="inlineStr">
        <is>
          <t>The student wants to emphasize the 2020 population of Chapantongo. Which choice most effectively uses relevant information from the notes to accomplish this goal?</t>
        </is>
      </c>
      <c r="E30" s="5" t="inlineStr">
        <is>
          <t>A. As of 2020, Chapantongo was one of 84 municipalities in Hidalgo, Mexico.
B. In 2020, the municipality of Chapantongo had a population of 12,967.
C. Chapantongo, a municipality in Hidalgo, is responsible for providing public services...
D. Home to 12,271 people, the governmental region was responsible...</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Notes: The Future of Nostalgia is a book by Svetlana Boym... Chapter 8 explores nostalgia and Europe's largest shopping mall... Chapter 17 discusses skeptics...</t>
        </is>
      </c>
      <c r="D31" s="5" t="inlineStr">
        <is>
          <t>The student wants to explain what Svetlana Boym writes about in chapter 8. Which choice most effectively uses relevant information from the notes to accomplish this goal?</t>
        </is>
      </c>
      <c r="E31" s="5" t="inlineStr">
        <is>
          <t>A. Svetlana Boym's The Future of Nostalgia explores nostalgia from various angles.
B. As Svetlana Boym writes in the seventeenth chapter...
C. Literary theorist Svetlana Boym explores nostalgia and Europe's largest shopping mall in chapter 8 of her book.
D. After exploring nostalgia and Europe's largest shopping mall, Boym goes on to discuss...</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Soil conditions, weather patterns, market trends, input costs, labor availability, equipment maintenance, and biological cycles are all variables that farmers must consider separately and in terms of how they may affect each other, and it is this _____ of factors in particular that makes successful farm management so challenging.</t>
        </is>
      </c>
      <c r="D5" s="5" t="inlineStr">
        <is>
          <t>Which choice completes the text with the most logical and precise word or phrase?</t>
        </is>
      </c>
      <c r="E5" s="5" t="inlineStr">
        <is>
          <t>A. neglect
B. misinterpretation
C. resolution
D. interplay</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throughput, package distribution centers employ advanced scheduling systems and strategic staging areas... are so efficient that even when delivery trucks arrive with short notice, goods can be processed rapidly.</t>
        </is>
      </c>
      <c r="D6" s="5" t="inlineStr">
        <is>
          <t>Which choice completes the text with the most logical and precise word or phrase?</t>
        </is>
      </c>
      <c r="E6" s="5" t="inlineStr">
        <is>
          <t>A. throughput
B. staffing
C. overhead
D. liability</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 influence production schedules, allowing rapid solution generation for manufacturing planning problems. The algorithms help identify efficient production schedules by processing those quantifiable inputs...</t>
        </is>
      </c>
      <c r="D7" s="5" t="inlineStr">
        <is>
          <t>Which choice completes the text with the most logical and precise word or phrase?</t>
        </is>
      </c>
      <c r="E7" s="5" t="inlineStr">
        <is>
          <t>A. optimizations
B. predictions
C. parameters
D. liabilities</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serve as _____ showing the corrupting influence of power.</t>
        </is>
      </c>
      <c r="D8" s="5" t="inlineStr">
        <is>
          <t>Which choice completes the text with the most logical and precise word or phrase?</t>
        </is>
      </c>
      <c r="E8" s="5" t="inlineStr">
        <is>
          <t>A. venerations
B. admonitions
C. obfuscations
D. exonerations</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Although these are impressive speeds, they are not sufficient to overcome the confining forces of the Sun's gravity... so the material is pulled back down.</t>
        </is>
      </c>
      <c r="D9" s="5" t="inlineStr">
        <is>
          <t>Which choice best describes the function of the underlined sentence in the text as a whole?</t>
        </is>
      </c>
      <c r="E9" s="5" t="inlineStr">
        <is>
          <t>A. It describes a natural phenomenon that is explained later in the text.
B. It presents a research finding that challenges the view mentioned in the first sentence.
C. It acknowledges an exception to the pattern described in the first sentence.
D. It discusses a natural occurrence that leads to the consequences explained later in the text.</t>
        </is>
      </c>
      <c r="F9" s="14" t="n"/>
      <c r="G9" s="7">
        <f>IF(ISBLANK(F9), "⏳ Chờ đáp án", IF(UPPER(TRIM(F9))="D", "✅ Đúng", "❌ Sai"))</f>
        <v/>
      </c>
      <c r="H9" s="14" t="n"/>
      <c r="I9" s="7">
        <f>IF(ISBLANK(H9), "", IF(UPPER(TRIM(H9))="D", "✅ Đúng", "❌ Sai"))</f>
        <v/>
      </c>
      <c r="J9" s="14" t="n"/>
      <c r="K9" s="7">
        <f>IF(ISBLANK(J9), "", IF(UPPER(TRIM(J9))="D",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Blue holes are large underwater sinkholes: pits filled with dark blue water... The formation of blue holes typically involves several natural processes, including the dissolution of limestone... Currently, the deepest blue hole on record is the Taam Ja' Blue Hole in Chetumal Bay, Mexico...</t>
        </is>
      </c>
      <c r="D10" s="5" t="inlineStr">
        <is>
          <t>Which choice best describes the overall structure of the text?</t>
        </is>
      </c>
      <c r="E10" s="5" t="inlineStr">
        <is>
          <t>A. It describes the appearance of a particular type of sinkhole, compares two sinkholes, and names researchers.
B. It compares a deep sinkhole to a shallower one, details processes, and emphasizes depth.
C. It explains how a particular sinkhole formed, evaluates appearance, and provides info.
D. It defines a kind of sinkhole, describes its typical appearance and formation, and provides information about the deepest known sinkhole.</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The wood I walk in on this mild May day... what grove of tropic palms, what strange ferns... could ever thrill such deep and delicate fibres within me as this home scene?
Text 2: My feelings seem to be those of our ancient earth... my own consciousness seems to stream through each blade of grass... in the rustling palm leaves.</t>
        </is>
      </c>
      <c r="D11" s="5" t="inlineStr">
        <is>
          <t>Which choice best describes a notable difference in how the author of Text 1 and the author of Text 2 refer to palm trees?</t>
        </is>
      </c>
      <c r="E11" s="5" t="inlineStr">
        <is>
          <t>A. While the narrator of Text 1 and the author of Text 2 both refer to metaphorical palm trees, only Text 1 suggests they represent home.
B. While palm trees form part of a series conveying variety in both texts, only Text 2 recognizes how interconnected they are.
C. While both discuss palm trees to suggest the value of nature, only Text 1 alludes to labor.
D. While palm trees serve to evoke natural beauty in both texts, only the author of Text 2 expresses a close sense of identification with palm trees.</t>
        </is>
      </c>
      <c r="F11" s="14" t="n"/>
      <c r="G11" s="7">
        <f>IF(ISBLANK(F11), "⏳ Chờ đáp án", IF(UPPER(TRIM(F11))="A", "✅ Đúng", "❌ Sai"))</f>
        <v/>
      </c>
      <c r="H11" s="14" t="n"/>
      <c r="I11" s="7">
        <f>IF(ISBLANK(H11), "", IF(UPPER(TRIM(H11))="A", "✅ Đúng", "❌ Sai"))</f>
        <v/>
      </c>
      <c r="J11" s="14" t="n"/>
      <c r="K11" s="7">
        <f>IF(ISBLANK(J11), "", IF(UPPER(TRIM(J11))="A",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scattered throughout... invite a verbalized response... suggesting a form of dramatic impersonation...</t>
        </is>
      </c>
      <c r="D12" s="5" t="inlineStr">
        <is>
          <t>Which choice best states the main idea of the text?</t>
        </is>
      </c>
      <c r="E12" s="5" t="inlineStr">
        <is>
          <t>A. It is reasonable to conclude that vernacular riddles were mainly performed at large public gatherings...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riddles more amusing than modern readers...
D. Scholars once assumed that riddles were read silently...</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Margarita Hidalgo argues that Mexican Spanish acquired this pronunciation from Nahuatl... as Spanish colonizers incorporated Nahuatl words...</t>
        </is>
      </c>
      <c r="D13" s="5" t="inlineStr">
        <is>
          <t>Information in the text best supports which statement about the consonant s?</t>
        </is>
      </c>
      <c r="E13" s="5" t="inlineStr">
        <is>
          <t>A. The pronunciation of this consonant is the principal difference between dialects.
B. This consonant appears in a higher percentage of Nahuatl vocabulary.
C. The pronunciation of this consonant in Mexican Spanish may have been affected by its pronunciation in Nahuatl.
D. The pronunciation requires greater tension in the tongue in Nahuatl than in Castilian.</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between main growing seasons... Axel Don concluded that cover crops contribute meaningfully to soil carbon sequestration and could help offset agricultural emissions...</t>
        </is>
      </c>
      <c r="D14" s="5" t="inlineStr">
        <is>
          <t>Which finding, if true, would be most consistent with Don and his coauthor's conclusion?</t>
        </is>
      </c>
      <c r="E14" s="5" t="inlineStr">
        <is>
          <t>A. Teff captures considerably more CO2 in fields where it is grown alongside other species...
B. Cover crops generally exhibit reduced carbon sequestration rates in fields exposed to high levels...
C. SOC stocks vary more in fields where cover crops have been grown for decades...
D. SOC stocks tend to be significantly lower in fields without cover crops compared with fields where cover crops have been grown for several years.</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 xml:space="preserve">While the brain regions most strongly associated with language tasks have some modularity... comprehension also invokes other areas of the brain associated with nonlinguistic functions. For example, understanding a description of physical actions activates sensory-motor areas... Thus, beyond the areas most strongly associated with linguistic functions, _____ </t>
        </is>
      </c>
      <c r="D15" s="5" t="inlineStr">
        <is>
          <t>Which choice most logically completes the text?</t>
        </is>
      </c>
      <c r="E15" s="5" t="inlineStr">
        <is>
          <t>A. the specific combination of brain regions involved in comprehension is likely contingent on the total context in which the speech is embedded.
B. the brain regions associated with sensory-motor functions are often involved...
C. the brain regions most strongly associated with affective processing activate...
D. the areas of the brain that activate when processing speech will typically include...</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 xml:space="preserve">The Clarion-Clipperton Zone (CCZ)... Some species were identified both morphologically and molecularly, whereas species for which molecular sampling was impracticable were identified solely based on physical morphology. Since molecular analysis does not require distinguishing subtle physiological differences, it is _____ </t>
        </is>
      </c>
      <c r="D16" s="5" t="inlineStr">
        <is>
          <t>Which choice most logically completes the text?</t>
        </is>
      </c>
      <c r="E16" s="5" t="inlineStr">
        <is>
          <t>A. more frequently used for identifying species with physical differences...
B. capable of providing greater physiological detail...
C. better suited to distinguishing Psychropotes dyscrita from morphologically similar species...
D. more likely to properly distinguish between morphologically similar but distinct invertebrate species than is the method used to identify Discantenna metallica.</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 xml:space="preserve">Rare species advantage (RSA) describes the situation in which there are few conspecifics... Among tree species in tropical forest sites, RSA is expected, but in temperate forest sites, the aggregation-abundance correlation is strongly negative. Mathematical modeling suggests, however, that ecological niche distinction may mitigate the apparent risk to temperate ecological stability engendered by this pattern because _____ </t>
        </is>
      </c>
      <c r="D17" s="5" t="inlineStr">
        <is>
          <t>Which choice most logically completes the text?</t>
        </is>
      </c>
      <c r="E17" s="5" t="inlineStr">
        <is>
          <t>A. as a tree species in temperate forests becomes more abundant, individuals are more likely...
B. even though rare tree species in forests tend to cluster...
C. although rare tree species in temperate forests encounter relatively high local competition from conspecifics, they can thrive by exploiting resources that are underexploited by other local species.
D. while an increase in abundance in one tree species often leads...</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 xml:space="preserve">A premortem is an exercise in which teams imagine their project has already failed... Prompting teams to proactively develop mitigation strategies during the planning stage, _____ </t>
        </is>
      </c>
      <c r="D18" s="5" t="inlineStr">
        <is>
          <t>Which choice completes the text so that it conforms to the conventions of Standard English?</t>
        </is>
      </c>
      <c r="E18"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target _____ maintaining perfect balance during aerial maneuvers, such as vertical loops; and even walking across the wing...</t>
        </is>
      </c>
      <c r="D19" s="5" t="inlineStr">
        <is>
          <t>Which choice completes the text so that it conforms to the conventions of Standard English?</t>
        </is>
      </c>
      <c r="E19" s="5" t="inlineStr">
        <is>
          <t>A. target; maintaining
B. target maintaining
C. target. Maintaining
D. target, maintaining</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 an explanation for the consistent and seemingly deliberate placement of petroglyphs near water analyzed several sites on Caribbean islands.</t>
        </is>
      </c>
      <c r="D20" s="5" t="inlineStr">
        <is>
          <t>Which choice completes the text so that it conforms to the conventions of Standard English?</t>
        </is>
      </c>
      <c r="E20" s="5" t="inlineStr">
        <is>
          <t>A. had
B. sought
C. seeking
D. were seeking</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over the Jackson 5's major-key blues progression _____ a technique that, by inserting the grunge singer's vocal melody as pitch-shifted 'blue notes', creates an intensified 'bluesy' sound.</t>
        </is>
      </c>
      <c r="D21" s="5" t="inlineStr">
        <is>
          <t>Which choice completes the text so that it conforms to the conventions of Standard English?</t>
        </is>
      </c>
      <c r="E21" s="5" t="inlineStr">
        <is>
          <t>A. Robin, a technique that
B. Robin. A technique that
C. Robin; a technique that,
D. Robin—a technique that,</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 promoting systematic crop rotation techniques that replenished essential nitrogen in depleted soils.</t>
        </is>
      </c>
      <c r="D22" s="5" t="inlineStr">
        <is>
          <t>Which choice completes the text so that it conforms to the conventions of Standard English?</t>
        </is>
      </c>
      <c r="E22" s="5" t="inlineStr">
        <is>
          <t>A. South, by
B. South by
C. South: by
D. South; by</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star) _____ in the constellation Draco, 3.6 billion light-years from Earth, the powerful blast propelled particles into space.</t>
        </is>
      </c>
      <c r="D23" s="5" t="inlineStr">
        <is>
          <t>Which choice completes the text so that it conforms to the conventions of Standard English?</t>
        </is>
      </c>
      <c r="E23" s="5" t="inlineStr">
        <is>
          <t>A. star). Occurring
B. star) occurring
C. star) and occurring
D. star), occurring</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 xml:space="preserve">Originating during the Cretaceous period, _____ </t>
        </is>
      </c>
      <c r="D24" s="5" t="inlineStr">
        <is>
          <t>Which choice completes the text so that it conforms to the conventions of Standard English?</t>
        </is>
      </c>
      <c r="E24" s="5" t="inlineStr">
        <is>
          <t>A. entomologists have extensively examined fossilized resin deposits...
B. the fossilized amber specimens excavated in northern Myanmar preserve anatomical details of early arthropods.
C. paleontological excavation in northern Myanmar has uncovered...
D. arthropods were trapped and entombed within sticky conifer secretion...</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The researchers did not perform this analysis on all such ungulates, _____ they focused exclusively on elk in Wyoming.</t>
        </is>
      </c>
      <c r="D25" s="5" t="inlineStr">
        <is>
          <t>Which choice completes the text with the most logical transition?</t>
        </is>
      </c>
      <c r="E25" s="5" t="inlineStr">
        <is>
          <t>A. for instance;
B. in other words;
C. regardless;
D. however;</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 under the Hornbostel-Sachs system, the saraswati veena is a chordophone.</t>
        </is>
      </c>
      <c r="D26" s="5" t="inlineStr">
        <is>
          <t>Which choice completes the text with the most logical transition?</t>
        </is>
      </c>
      <c r="E26" s="5" t="inlineStr">
        <is>
          <t>A. Furthermore,
B. Thus,
C. Similarly,
D. Instead,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helps it glide through wind with relative ease, _____ a boxy pickup truck encounters more wind resistance.</t>
        </is>
      </c>
      <c r="D27" s="5" t="inlineStr">
        <is>
          <t>Which choice completes the text with the most logical transition?</t>
        </is>
      </c>
      <c r="E27" s="5" t="inlineStr">
        <is>
          <t>A. additionally,
B. however,
C. for example,
D. meanwhile,</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Of the 206 ticker-tape parades held between 1886 and 2022, a number were for achievements in aviation. _____ Lindbergh's parade was just one of 16 honoring pilots.</t>
        </is>
      </c>
      <c r="D28" s="5" t="inlineStr">
        <is>
          <t>Which choice completes the text with the most logical transition?</t>
        </is>
      </c>
      <c r="E28" s="5" t="inlineStr">
        <is>
          <t>A. Indeed,
B. In addition,
C. Indeed,
D. Nevertheless,</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Scholars typically regard the serial version as less authoritative than the book version. _____ as scholar Philip Allingham notes, serialized texts were the versions in which nineteenth-century readership first saw itself reflected.</t>
        </is>
      </c>
      <c r="D29" s="5" t="inlineStr">
        <is>
          <t>Which choice completes the text with the most logical transition?</t>
        </is>
      </c>
      <c r="E29" s="5" t="inlineStr">
        <is>
          <t>A. Accordingly, they emphasize...
B. Still, the serial version is important to an understanding of the novel's historical context;
C. Consequently, the book version...
D. However, others regard...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Notes: Highpointers Club aims to reach the highest points in 50 US states (50 Completers). In Suk Han completed this on Nov 15, 2013. Timms Hill in Wisconsin (1,951 ft), Gannett Peak in Wyoming (13,809 ft).</t>
        </is>
      </c>
      <c r="D30" s="5" t="inlineStr">
        <is>
          <t>Which choice most effectively uses information from the given sentences to explain the 50 Completers hiking challenge to a new audience?</t>
        </is>
      </c>
      <c r="E30" s="5" t="inlineStr">
        <is>
          <t>A. If you are looking for a new hiking challenge, consider joining...
B. Not until after you have reached the highest points in all fifty US states—including Timms Hill in Wisconsin and Gannett Peak in Wyoming—can you include yourself among the 50 Completers of the Highpointers Club.
C. On November 15, 2013, In Suk Han finally completed...
D. Hikers aiming to count themselves among the 50 Completers...</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Notes: Enhanced rock weathering (ERW) spreads crushed basalt on farmland to capture CO2 and improve soil health. ERW is low-cost, low-tech compared to expensive energy-intensive methods. CO2 becomes stable bicarbonate in soil water flowing to oceans.</t>
        </is>
      </c>
      <c r="D31" s="5" t="inlineStr">
        <is>
          <t>The student wants to explain why ERW is a superior method for capturing CO2. Which choice most effectively uses relevant information from the notes to accomplish this goal?</t>
        </is>
      </c>
      <c r="E31" s="5" t="inlineStr">
        <is>
          <t>A. ERW improves soil health and helps farmers increase their income...
B. ERW removes CO2 from the air in a way that is both low-cost and low-tech.
C. CO2 captured by ERW becomes stable bicarbonate...
D. ERW is a method of spreading crushed basalt on farmland...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56
B. 156
C. 550
D. 650</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The estimated value of the bike was 275 dollars when it was purchased.
B. The estimated value of the bike 24 months after purchase was 275 dollars.
C. The estimated value decreased by 275 dollars in 24 months.
D. The estimated value decreased by 2.75% each year.</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 Enter the exact integer.</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29(x^2 + 1)
B. 29(x^2 + 29)
C. 29(29x^2 + 1)
D. 29(x^2 + 1/29)</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30
B. 90
C. 180
D. 270</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Student-Produced Response (Grid-in). Enter the exact number.</t>
        </is>
      </c>
      <c r="F10" s="14" t="n"/>
      <c r="G10" s="7">
        <f>IF(ISBLANK(F10), "⏳ Chờ đáp án", IF(UPPER(TRIM(F10))="3", "✅ Đúng", "❌ Sai"))</f>
        <v/>
      </c>
      <c r="H10" s="14" t="n"/>
      <c r="I10" s="7">
        <f>IF(ISBLANK(H10), "", IF(UPPER(TRIM(H10))="3", "✅ Đúng", "❌ Sai"))</f>
        <v/>
      </c>
      <c r="J10" s="14" t="n"/>
      <c r="K10" s="7">
        <f>IF(ISBLANK(J10), "", IF(UPPER(TRIM(J10))="3",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 Enter the exact decimal.</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288
B. 196
C. 80
D. 16</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1
B. 0
C. 43
D. -43</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y = 3x - 8
B. y = (1/3)x - 8
C. y = -x + 1/3
D. 3y = -x + 3</t>
        </is>
      </c>
      <c r="F14" s="14" t="n"/>
      <c r="G14" s="7">
        <f>IF(ISBLANK(F14), "⏳ Chờ đáp án", IF(UPPER(TRIM(F14))="A", "✅ Đúng", "❌ Sai"))</f>
        <v/>
      </c>
      <c r="H14" s="14" t="n"/>
      <c r="I14" s="7">
        <f>IF(ISBLANK(H14), "", IF(UPPER(TRIM(H14))="A", "✅ Đúng", "❌ Sai"))</f>
        <v/>
      </c>
      <c r="J14" s="14" t="n"/>
      <c r="K14" s="7">
        <f>IF(ISBLANK(J14), "", IF(UPPER(TRIM(J14))="A",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y = 0.2 + 2.25x
B. y = 0.2 - 2.25x
C. y = 2.25 + 0.2x
D. y = 2.25 - 0.2x</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(21, 0)
B. (0, -21)
C. (0, 21/b)
D. (-b/a, 0)</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0 &lt;= x &lt;= 2
B. (17)(0.5) &lt;= x &lt;= (24)(0.5)
C. 17 &lt;= x &lt;= 24
D. (17)(2) &lt;= x &lt;= (24)(2)</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 Enter the exact integer.</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 Enter the exact integer.</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v = 2K / 55^2
B. v = 55^2 / 2K
C. v = sqrt(55 / 2K)
D. v = sqrt(2K / 55)</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C(n) = 7,138(0.22)^n
B. C(n) = 7,138(1.22)^n
C. C(n) = 0.22(7,138)^n
D. C(n) = 1.22(7,138)^n</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1/sqrt(3)
B. 1/sqrt(2)
C. 1
D. sqrt(2)</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A. 11
B. 121
C. 15
D. 121/15</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Student-Produced Response (Grid-in). Enter the exact integer or fraction.</t>
        </is>
      </c>
      <c r="F24" s="14" t="n"/>
      <c r="G24" s="7">
        <f>IF(ISBLANK(F24), "⏳ Chờ đáp án", IF(UPPER(TRIM(F24))="1", "✅ Đúng", "❌ Sai"))</f>
        <v/>
      </c>
      <c r="H24" s="14" t="n"/>
      <c r="I24" s="7">
        <f>IF(ISBLANK(H24), "", IF(UPPER(TRIM(H24))="1", "✅ Đúng", "❌ Sai"))</f>
        <v/>
      </c>
      <c r="J24" s="14" t="n"/>
      <c r="K24" s="7">
        <f>IF(ISBLANK(J24), "", IF(UPPER(TRIM(J24))="1",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A. 1
B. 2
C. 9
D. 18</t>
        </is>
      </c>
      <c r="F25" s="14" t="n"/>
      <c r="G25" s="7">
        <f>IF(ISBLANK(F25), "⏳ Chờ đáp án", IF(UPPER(TRIM(F25))="B", "✅ Đúng", "❌ Sai"))</f>
        <v/>
      </c>
      <c r="H25" s="14" t="n"/>
      <c r="I25" s="7">
        <f>IF(ISBLANK(H25), "", IF(UPPER(TRIM(H25))="B", "✅ Đúng", "❌ Sai"))</f>
        <v/>
      </c>
      <c r="J25" s="14" t="n"/>
      <c r="K25" s="7">
        <f>IF(ISBLANK(J25), "", IF(UPPER(TRIM(J25))="B",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40
B. 37
C. 32
D. 25</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7
B. 14
C. 24.5
D. 49</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f(x) = 1.8x
B. f(x) = 0.6x
C. f(x) = 2,160x
D. f(x) = 4,320x</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 Enter the exact integer.</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y = 70x + z
B. y = 70x + z + 46
C. y = 116x + z
D. y = 116x + 70z + 46</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A. -1
B. 0
C. -1
D. 1</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-2/3
B. 2/3
C. -3/2
D. 3/2</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0.08%
B. 8%
C. 25%
D. 108%</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 Enter the exact integer.</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y &lt; 3x + 4
B. y &lt; 3x - 4
C. y &gt; 3x + 4
D. y &lt; -3x + 4</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-86
B. -14
C. 23
D. 72</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-2
B. 3
C. 6
D. 8</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The mean age increases, and the median age increases.
B. The mean age for the new collection is greater than the original, but the median age is the same.
C. The mean age is less, and the median age is less.
D. The median age increases, but the mean age remains the same.</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14m - 2*sqrt(15)
B. -14m + 2*sqrt(15)
C. 7m/2 - sqrt(15)/2
D. -7m/2 + sqrt(15)/2</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18
B. 12
C. 17
D. 16</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5
B. 7
C. 8
D. 9</t>
        </is>
      </c>
      <c r="F19" s="14" t="n"/>
      <c r="G19" s="7">
        <f>IF(ISBLANK(F19), "⏳ Chờ đáp án", IF(UPPER(TRIM(F19))="B", "✅ Đúng", "❌ Sai"))</f>
        <v/>
      </c>
      <c r="H19" s="14" t="n"/>
      <c r="I19" s="7">
        <f>IF(ISBLANK(H19), "", IF(UPPER(TRIM(H19))="B", "✅ Đúng", "❌ Sai"))</f>
        <v/>
      </c>
      <c r="J19" s="14" t="n"/>
      <c r="K19" s="7">
        <f>IF(ISBLANK(J19), "", IF(UPPER(TRIM(J19))="B",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The gamers were not selected at random from all gamers worldwide.
B. The number of gamers is too small.
C. The number of gamers from each country is different.
D. Melatonin was not measured over a long enough period.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5/12
B. 12/5
C. 13/5
D. 12/13</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2.41%
B. 3.41%
C. 241%
D. 341%</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-32
B. -16
C. -8
D. 24</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41
B. 40
C. 39
D. 38</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 Enter the exact number.</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 Enter the exact integer or fraction.</t>
        </is>
      </c>
      <c r="F26" s="14" t="n"/>
      <c r="G26" s="7">
        <f>IF(ISBLANK(F26), "⏳ Chờ đáp án", IF(UPPER(TRIM(F26))="362", "✅ Đúng", "❌ Sai"))</f>
        <v/>
      </c>
      <c r="H26" s="14" t="n"/>
      <c r="I26" s="7">
        <f>IF(ISBLANK(H26), "", IF(UPPER(TRIM(H26))="362", "✅ Đúng", "❌ Sai"))</f>
        <v/>
      </c>
      <c r="J26" s="14" t="n"/>
      <c r="K26" s="7">
        <f>IF(ISBLANK(J26), "", IF(UPPER(TRIM(J26))="362",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the source of a malfunction in a complex electrical system can be a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Adapting
B. Isolating
C. Incorporating
D. Fabricating</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 internal salt levels? Some organisms maintain high concentrations of phosphates that allow them to affect the concentration of internal electrolytes—including salt—in response to external changes.</t>
        </is>
      </c>
      <c r="E6" s="5" t="inlineStr">
        <is>
          <t>Which choice completes the text with the most logical and precise word or phrase?</t>
        </is>
      </c>
      <c r="F6" s="5" t="inlineStr">
        <is>
          <t>A. counteract
B. elude
C. tolerate
D. regulate</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predictable
B. innovative
C. idealistic
D. superficial</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basic computer security training that only teaches recognition of obvious scams cannot provide _____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uncommon
B. superficial
C. sufficient
D. affordable</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It lists the number of cities in one country, then compares that number to another country.
B. It poses a question, then explains why the question has many answers.
C. It offers a recommendation, then provides reasons for that recommendation.
D. It describes two locations, then explains why only one is considered a city.</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Adapted from William Faulkner's 1940 novel The Hamlet...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t>
        </is>
      </c>
      <c r="E10" s="5" t="inlineStr">
        <is>
          <t>Which choice best states the main purpose of the text?</t>
        </is>
      </c>
      <c r="F10" s="5" t="inlineStr">
        <is>
          <t>A. To contrast the man's desire to attend the meeting with his awareness of risk.
B. To compare the upcoming meeting to a far more serious experience from earlier.
C. To depict the man's insistence on meeting despite the inconvenience.
D. To portray the man's anxiety about the meeting as reflected by his physical state and demeanor.</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and environmental work. Arborists assess tree health and perform maintenance... Forestry technicians collect data... Forest ecologists conduct field research... With this blend of scientific understanding and practical application, forestry professionals address a variety of complex environmental challenges.</t>
        </is>
      </c>
      <c r="E11" s="5" t="inlineStr">
        <is>
          <t>Which choice best describes the main purpose of the text?</t>
        </is>
      </c>
      <c r="F11" s="5" t="inlineStr">
        <is>
          <t>A. To explain technological advances in modern forestry.
B. To analyze environmental problems facing forests.
C. To compare career security across forestry positions.
D. To highlight career opportunities in modern forestry and describe how they integrate scientific knowledge and hands-on work.</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By activating only the medium cones in the retina
B. By activating the long, medium, and short cones in the retina
C. By activating both the long and short cones in the retina
D. By activating only the long cones in the retina</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 xml:space="preserve">A student is collecting data about countries with volcanoes that have been active in the time since 1800 and in the time since 1960. The student records that Ethiopia has _____ </t>
        </is>
      </c>
      <c r="E13" s="5" t="inlineStr">
        <is>
          <t>Which choice most effectively uses data from the graph to complete the statement?</t>
        </is>
      </c>
      <c r="F13" s="5" t="inlineStr">
        <is>
          <t>A. the same number of volcanoes active since 1800 as Tanzania.
B. no volcanoes active since 1800.
C. more volcanoes that have been active since 1960 than Tanzania has.
D. fewer volcanoes that have been active since 1960 than Tanzania has.</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2023 anthology The Big Book of Cyberpunk... Shurin defines cyberpunk as a subgenre concerning 'the influence of technology on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'Not all the stories anthologized in The Big Book of Cyberpunk were first published in journals...'
B. 'The stories in The Big Book of Cyberpunk share a number of common themes...'
C. 'Shurin's characterization of cyberpunk is remarkably generous...'
D. 'A key component of cyberpunk that differentiates it from other subgenres of science fiction is an affection for the totems of 1980s pop culture, such as the mirrored sunglasses that were then popular.'</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didn't result from an overall contraction of that sector, since the total number of employees in that sector increased by several thousand during this period.
B. It was offset by changes in leisure and hospitality businesses...
C. It was driven primarily by changes in businesses classified as 'other'...
D. It resulted from widespread workforce redistributions...</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Tax Penalties Assessed on Private Foundations That Filed Form 4720, by Reason, 2003-2005... Out of the organizations that filed Form 990-PF in the years 2003-2005...</t>
        </is>
      </c>
      <c r="E16" s="5" t="inlineStr">
        <is>
          <t>Which choice most effectively uses data from the graph to complete the assertion?</t>
        </is>
      </c>
      <c r="F16" s="5" t="inlineStr">
        <is>
          <t>A. those that filed Form 4720 because they had excess holdings paid a larger penalty...
B. those that filed Form 4720 because they engaged in self-dealing...
C. those that filed Form 4720 in 2003 because they failed to meet the minimum requirement collectively paid a larger percentage of the total penalty assessed that year than those that filed Form 4720 in 2005 for the same reason.
D. those that filed Form 4720 in 2005 because...</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Odysseus suggests that the plan for returning with Philoctetes rests on Neoptolemus not having been part of the group that abandoned him:</t>
        </is>
      </c>
      <c r="E17" s="5" t="inlineStr">
        <is>
          <t>Which quotation from Philoctetes most effectively illustrates the claim?</t>
        </is>
      </c>
      <c r="F17" s="5" t="inlineStr">
        <is>
          <t>A. 'Since the prize of victory is so dear, / Endure it...'
B. 'Go near now silently, and make me know...'
C. 'Now let me show, why thine approach to him / Is safe and trustful as mine cannot be / Thou didst sail forth, not to redeem thine oath, / Nor by constraint, nor with the foremost band.'
D. 'No moment for this talk, / Lest he discern my coming...'</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 xml:space="preserve">Louis-Ferdinand Céline's 1932 novel Journey to the End of the Night is regularly described as autobiographical. That characterization is apt... Much of the novel is pure invention, and readers who overlook this fact and instead focus excessively on correspondences between the novel and Céline's life can thus _____ </t>
        </is>
      </c>
      <c r="E18" s="5" t="inlineStr">
        <is>
          <t>Which choice most logically completes the text?</t>
        </is>
      </c>
      <c r="F18" s="5" t="inlineStr">
        <is>
          <t>A. fail to appreciate how much creativity Céline shows in the book.
B. overemphasize the extent to which Céline took inspiration from earlier writers.
C. refuse to acknowledge that Céline drew on real-world material...
D. misrepresent Journey to the End of the Night as being more widely read than it actually was.</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 xml:space="preserve">Last-mile delivery... is subject to increasing pressure... One advance is the use of self-service lockers. This approach, while convenient, introduces new obstacles (e.g., placement is challenging). It is therefore likely that _____ </t>
        </is>
      </c>
      <c r="E19" s="5" t="inlineStr">
        <is>
          <t>Which choice most logically completes the text?</t>
        </is>
      </c>
      <c r="F19" s="5" t="inlineStr">
        <is>
          <t>A. delivery companies will need to keep experimenting with new ideas for last-mile delivery if they hope to keep pace with consumers' expectations.
B. delivery companies will continue promising next-day delivery...
C. advances in last-mile technologies will slow...
D. innovations in the use of self-service lockers will stall...</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 travelers recommend, especially from June to September.</t>
        </is>
      </c>
      <c r="E20" s="5" t="inlineStr">
        <is>
          <t>Which choice completes the text so that it conforms to the conventions of Standard English?</t>
        </is>
      </c>
      <c r="F20" s="5" t="inlineStr">
        <is>
          <t>A. city, which
B. city in which
C. city that
D. city, that</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As nanotechnology evolves, medical technology _____ to evolve as well.</t>
        </is>
      </c>
      <c r="E21" s="5" t="inlineStr">
        <is>
          <t>Which choice completes the text so that it conforms to the conventions of Standard English?</t>
        </is>
      </c>
      <c r="F21" s="5" t="inlineStr">
        <is>
          <t>A. had likely continued
B. would likely have continued
C. had likely been continuing
D. will likely continue</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Anna Pavlova redesigned her pointe shoes. The modifications she made—adding a stiffened leather sole and hardened toe _____ began the modernization of ballet's iconic footwear.</t>
        </is>
      </c>
      <c r="E22" s="5" t="inlineStr">
        <is>
          <t>Which choice completes the text so that it conforms to the conventions of Standard English?</t>
        </is>
      </c>
      <c r="F22" s="5" t="inlineStr">
        <is>
          <t>A. box
B. box—
C. box,
D. box:</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The purpose of these ancient games was 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threefold. To
B. threefold: to
C. threefold; to
D. threefold to</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Solis's hypothesis about the Peruvian site's _____ nearly 5,000 years ago, the ancient city preceded the Olmec civilization to the north by a full millennium...</t>
        </is>
      </c>
      <c r="E24" s="5" t="inlineStr">
        <is>
          <t>Which choice completes the text so that it conforms to the conventions of Standard English?</t>
        </is>
      </c>
      <c r="F24" s="5" t="inlineStr">
        <is>
          <t>A. age, built
B. age: built
C. age and built
D. age built</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Commercial applications of this new synthetic dye technology—beginning with the purple dye called mauve, discovered by William Perkin in 1856— _____ responsible for launching what one science historian calls a 'manufacturing revolution based on chemistry.'</t>
        </is>
      </c>
      <c r="E25" s="5" t="inlineStr">
        <is>
          <t>Which choice completes the text so that it conforms to the conventions of Standard English?</t>
        </is>
      </c>
      <c r="F25" s="5" t="inlineStr">
        <is>
          <t>A. has been
B. is
C. were
D. was</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 tiny water droplets begin to form as the cooling air reaches its dew point... Finally, as more droplets accumulate, a visible layer of fog develops.</t>
        </is>
      </c>
      <c r="E26" s="5" t="inlineStr">
        <is>
          <t>Which choice completes the text with the most logical transition?</t>
        </is>
      </c>
      <c r="F26" s="5" t="inlineStr">
        <is>
          <t>A. Similarly,
B. Lastly,
C. Instead,
D. Next,</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 these endophytes help by fighting off diseases and boosting the tree's immune system.</t>
        </is>
      </c>
      <c r="E27" s="5" t="inlineStr">
        <is>
          <t>Which choice completes the text with the most logical transition?</t>
        </is>
      </c>
      <c r="F27" s="5" t="inlineStr">
        <is>
          <t>A. In conclusion,
B. Nevertheless,
C. Alternatively,
D. Specifically,</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Notes: Pistol shrimp are small marine crustaceans that hunt using a specialized oversized claw. When the claw snaps shut rapidly, it pushes water... bubble pops forcefully...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Some crustaceans use a specialized claw to create high-speed water jets...
B. Pistol shrimp are small marine creatures that use a specialized oversized claw to generate shock waves powerful enough to stun small fish.
C. Pushing water through a narrow groove at extreme speeds...
D. Pistol shrimp are preyed on by small marine crustaceans...</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Notes: Elizabeth Catlett (1915-2012) was a celebrated African American artist... best known for creating sculptures and prints... New Generation is a 1992 print... Standing Mother and Child is a 1980 sculpture.</t>
        </is>
      </c>
      <c r="E29" s="5" t="inlineStr">
        <is>
          <t>The student wants to provide an example of one of Catlett's sculptures. Which choice most effectively uses relevant information from the notes to accomplish this goal?</t>
        </is>
      </c>
      <c r="F29" s="5" t="inlineStr">
        <is>
          <t>A. The print New Generation was created by celebrated artist Elizabeth Catlett in 1992.
B. The sculpture Standing Mother and Child was created by celebrated artist Elizabeth Catlett in 1980.
C. Artist Elizabeth Catlett is best known for creating sculptures and prints...
D. Elizabeth Catlett, a celebrated artist, was born in 1915.</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Notes: Chapantongo is a municipality in Hidalgo, Mexico... Municipalities provide public services... Chapantongo's population was 12,967 in 2020. Its population was 12,271 in 2010.</t>
        </is>
      </c>
      <c r="E30" s="5" t="inlineStr">
        <is>
          <t>The student wants to emphasize the 2020 population of Chapantongo. Which choice most effectively uses relevant information from the notes to accomplish this goal?</t>
        </is>
      </c>
      <c r="F30" s="5" t="inlineStr">
        <is>
          <t>A. As of 2020, Chapantongo was one of 84 municipalities in Hidalgo, Mexico.
B. In 2020, the municipality of Chapantongo had a population of 12,967.
C. Chapantongo, a municipality in Hidalgo, is responsible for providing public services...
D. Home to 12,271 people, the governmental region was responsible...</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Notes: The Future of Nostalgia is a book by Svetlana Boym... Chapter 8 explores nostalgia and Europe's largest shopping mall... Chapter 17 discusses skeptics...</t>
        </is>
      </c>
      <c r="E31" s="5" t="inlineStr">
        <is>
          <t>The student wants to explain what Svetlana Boym writes about in chapter 8. Which choice most effectively uses relevant information from the notes to accomplish this goal?</t>
        </is>
      </c>
      <c r="F31" s="5" t="inlineStr">
        <is>
          <t>A. Svetlana Boym's The Future of Nostalgia explores nostalgia from various angles.
B. As Svetlana Boym writes in the seventeenth chapter...
C. Literary theorist Svetlana Boym explores nostalgia and Europe's largest shopping mall in chapter 8 of her book.
D. After exploring nostalgia and Europe's largest shopping mall, Boym goes on to discuss...</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Soil conditions, weather patterns, market trends, input costs, labor availability, equipment maintenance, and biological cycles are all variables that farmers must consider separately and in terms of how they may affect each other, and it is this _____ of factors in particular that makes successful farm management so challenging.</t>
        </is>
      </c>
      <c r="E32" s="5" t="inlineStr">
        <is>
          <t>Which choice completes the text with the most logical and precise word or phrase?</t>
        </is>
      </c>
      <c r="F32" s="5" t="inlineStr">
        <is>
          <t>A. neglect
B. misinterpretation
C. resolution
D. interplay</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throughput, package distribution centers employ advanced scheduling systems and strategic staging areas... are so efficient that even when delivery trucks arrive with short notice, goods can be processed rapidly.</t>
        </is>
      </c>
      <c r="E33" s="5" t="inlineStr">
        <is>
          <t>Which choice completes the text with the most logical and precise word or phrase?</t>
        </is>
      </c>
      <c r="F33" s="5" t="inlineStr">
        <is>
          <t>A. throughput
B. staffing
C. overhead
D. liability</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 influence production schedules, allowing rapid solution generation for manufacturing planning problems. The algorithms help identify efficient production schedules by processing those quantifiable inputs...</t>
        </is>
      </c>
      <c r="E34" s="5" t="inlineStr">
        <is>
          <t>Which choice completes the text with the most logical and precise word or phrase?</t>
        </is>
      </c>
      <c r="F34" s="5" t="inlineStr">
        <is>
          <t>A. optimizations
B. predictions
C. parameters
D. liabilities</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serve as _____ showing the corrupting influence of power.</t>
        </is>
      </c>
      <c r="E35" s="5" t="inlineStr">
        <is>
          <t>Which choice completes the text with the most logical and precise word or phrase?</t>
        </is>
      </c>
      <c r="F35" s="5" t="inlineStr">
        <is>
          <t>A. venerations
B. admonitions
C. obfuscations
D. exonerations</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Although these are impressive speeds, they are not sufficient to overcome the confining forces of the Sun's gravity... so the material is pulled back down.</t>
        </is>
      </c>
      <c r="E36" s="5" t="inlineStr">
        <is>
          <t>Which choice best describes the function of the underlined sentence in the text as a whole?</t>
        </is>
      </c>
      <c r="F36" s="5" t="inlineStr">
        <is>
          <t>A. It describes a natural phenomenon that is explained later in the text.
B. It presents a research finding that challenges the view mentioned in the first sentence.
C. It acknowledges an exception to the pattern described in the first sentence.
D. It discusses a natural occurrence that leads to the consequences explained later in the text.</t>
        </is>
      </c>
      <c r="G36" s="14" t="n"/>
      <c r="H36" s="7">
        <f>IF(ISBLANK(G36), "⏳ Chờ đáp án", IF(UPPER(TRIM(G36))="D", "✅ Đúng", "❌ Sai"))</f>
        <v/>
      </c>
      <c r="I36" s="14" t="n"/>
      <c r="J36" s="7">
        <f>IF(ISBLANK(I36), "", IF(UPPER(TRIM(I36))="D", "✅ Đúng", "❌ Sai"))</f>
        <v/>
      </c>
      <c r="K36" s="14" t="n"/>
      <c r="L36" s="7">
        <f>IF(ISBLANK(K36), "", IF(UPPER(TRIM(K36))="D",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Blue holes are large underwater sinkholes: pits filled with dark blue water... The formation of blue holes typically involves several natural processes, including the dissolution of limestone... Currently, the deepest blue hole on record is the Taam Ja' Blue Hole in Chetumal Bay, Mexico...</t>
        </is>
      </c>
      <c r="E37" s="5" t="inlineStr">
        <is>
          <t>Which choice best describes the overall structure of the text?</t>
        </is>
      </c>
      <c r="F37" s="5" t="inlineStr">
        <is>
          <t>A. It describes the appearance of a particular type of sinkhole, compares two sinkholes, and names researchers.
B. It compares a deep sinkhole to a shallower one, details processes, and emphasizes depth.
C. It explains how a particular sinkhole formed, evaluates appearance, and provides info.
D. It defines a kind of sinkhole, describes its typical appearance and formation, and provides information about the deepest known sinkhole.</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The wood I walk in on this mild May day... what grove of tropic palms, what strange ferns... could ever thrill such deep and delicate fibres within me as this home scene?
Text 2: My feelings seem to be those of our ancient earth... my own consciousness seems to stream through each blade of grass... in the rustling palm leaves.</t>
        </is>
      </c>
      <c r="E38" s="5" t="inlineStr">
        <is>
          <t>Which choice best describes a notable difference in how the author of Text 1 and the author of Text 2 refer to palm trees?</t>
        </is>
      </c>
      <c r="F38" s="5" t="inlineStr">
        <is>
          <t>A. While the narrator of Text 1 and the author of Text 2 both refer to metaphorical palm trees, only Text 1 suggests they represent home.
B. While palm trees form part of a series conveying variety in both texts, only Text 2 recognizes how interconnected they are.
C. While both discuss palm trees to suggest the value of nature, only Text 1 alludes to labor.
D. While palm trees serve to evoke natural beauty in both texts, only the author of Text 2 expresses a close sense of identification with palm trees.</t>
        </is>
      </c>
      <c r="G38" s="14" t="n"/>
      <c r="H38" s="7">
        <f>IF(ISBLANK(G38), "⏳ Chờ đáp án", IF(UPPER(TRIM(G38))="A", "✅ Đúng", "❌ Sai"))</f>
        <v/>
      </c>
      <c r="I38" s="14" t="n"/>
      <c r="J38" s="7">
        <f>IF(ISBLANK(I38), "", IF(UPPER(TRIM(I38))="A", "✅ Đúng", "❌ Sai"))</f>
        <v/>
      </c>
      <c r="K38" s="14" t="n"/>
      <c r="L38" s="7">
        <f>IF(ISBLANK(K38), "", IF(UPPER(TRIM(K38))="A",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scattered throughout... invite a verbalized response... suggesting a form of dramatic impersonation...</t>
        </is>
      </c>
      <c r="E39" s="5" t="inlineStr">
        <is>
          <t>Which choice best states the main idea of the text?</t>
        </is>
      </c>
      <c r="F39" s="5" t="inlineStr">
        <is>
          <t>A. It is reasonable to conclude that vernacular riddles were mainly performed at large public gatherings...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riddles more amusing than modern readers...
D. Scholars once assumed that riddles were read silently...</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Margarita Hidalgo argues that Mexican Spanish acquired this pronunciation from Nahuatl... as Spanish colonizers incorporated Nahuatl words...</t>
        </is>
      </c>
      <c r="E40" s="5" t="inlineStr">
        <is>
          <t>Information in the text best supports which statement about the consonant s?</t>
        </is>
      </c>
      <c r="F40" s="5" t="inlineStr">
        <is>
          <t>A. The pronunciation of this consonant is the principal difference between dialects.
B. This consonant appears in a higher percentage of Nahuatl vocabulary.
C. The pronunciation of this consonant in Mexican Spanish may have been affected by its pronunciation in Nahuatl.
D. The pronunciation requires greater tension in the tongue in Nahuatl than in Castilian.</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between main growing seasons... Axel Don concluded that cover crops contribute meaningfully to soil carbon sequestration and could help offset agricultural emissions...</t>
        </is>
      </c>
      <c r="E41" s="5" t="inlineStr">
        <is>
          <t>Which finding, if true, would be most consistent with Don and his coauthor's conclusion?</t>
        </is>
      </c>
      <c r="F41" s="5" t="inlineStr">
        <is>
          <t>A. Teff captures considerably more CO2 in fields where it is grown alongside other species...
B. Cover crops generally exhibit reduced carbon sequestration rates in fields exposed to high levels...
C. SOC stocks vary more in fields where cover crops have been grown for decades...
D. SOC stocks tend to be significantly lower in fields without cover crops compared with fields where cover crops have been grown for several years.</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 xml:space="preserve">While the brain regions most strongly associated with language tasks have some modularity... comprehension also invokes other areas of the brain associated with nonlinguistic functions. For example, understanding a description of physical actions activates sensory-motor areas... Thus, beyond the areas most strongly associated with linguistic functions, _____ </t>
        </is>
      </c>
      <c r="E42" s="5" t="inlineStr">
        <is>
          <t>Which choice most logically completes the text?</t>
        </is>
      </c>
      <c r="F42" s="5" t="inlineStr">
        <is>
          <t>A. the specific combination of brain regions involved in comprehension is likely contingent on the total context in which the speech is embedded.
B. the brain regions associated with sensory-motor functions are often involved...
C. the brain regions most strongly associated with affective processing activate...
D. the areas of the brain that activate when processing speech will typically include...</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 xml:space="preserve">The Clarion-Clipperton Zone (CCZ)... Some species were identified both morphologically and molecularly, whereas species for which molecular sampling was impracticable were identified solely based on physical morphology. Since molecular analysis does not require distinguishing subtle physiological differences, it is _____ </t>
        </is>
      </c>
      <c r="E43" s="5" t="inlineStr">
        <is>
          <t>Which choice most logically completes the text?</t>
        </is>
      </c>
      <c r="F43" s="5" t="inlineStr">
        <is>
          <t>A. more frequently used for identifying species with physical differences...
B. capable of providing greater physiological detail...
C. better suited to distinguishing Psychropotes dyscrita from morphologically similar species...
D. more likely to properly distinguish between morphologically similar but distinct invertebrate species than is the method used to identify Discantenna metallica.</t>
        </is>
      </c>
      <c r="G43" s="14" t="n"/>
      <c r="H43" s="7">
        <f>IF(ISBLANK(G43), "⏳ Chờ đáp án", IF(UPPER(TRIM(G43))="C", "✅ Đúng", "❌ Sai"))</f>
        <v/>
      </c>
      <c r="I43" s="14" t="n"/>
      <c r="J43" s="7">
        <f>IF(ISBLANK(I43), "", IF(UPPER(TRIM(I43))="C", "✅ Đúng", "❌ Sai"))</f>
        <v/>
      </c>
      <c r="K43" s="14" t="n"/>
      <c r="L43" s="7">
        <f>IF(ISBLANK(K43), "", IF(UPPER(TRIM(K43))="C",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 xml:space="preserve">Rare species advantage (RSA) describes the situation in which there are few conspecifics... Among tree species in tropical forest sites, RSA is expected, but in temperate forest sites, the aggregation-abundance correlation is strongly negative. Mathematical modeling suggests, however, that ecological niche distinction may mitigate the apparent risk to temperate ecological stability engendered by this pattern because _____ </t>
        </is>
      </c>
      <c r="E44" s="5" t="inlineStr">
        <is>
          <t>Which choice most logically completes the text?</t>
        </is>
      </c>
      <c r="F44" s="5" t="inlineStr">
        <is>
          <t>A. as a tree species in temperate forests becomes more abundant, individuals are more likely...
B. even though rare tree species in forests tend to cluster...
C. although rare tree species in temperate forests encounter relatively high local competition from conspecifics, they can thrive by exploiting resources that are underexploited by other local species.
D. while an increase in abundance in one tree species often leads...</t>
        </is>
      </c>
      <c r="G44" s="14" t="n"/>
      <c r="H44" s="7">
        <f>IF(ISBLANK(G44), "⏳ Chờ đáp án", IF(UPPER(TRIM(G44))="A", "✅ Đúng", "❌ Sai"))</f>
        <v/>
      </c>
      <c r="I44" s="14" t="n"/>
      <c r="J44" s="7">
        <f>IF(ISBLANK(I44), "", IF(UPPER(TRIM(I44))="A", "✅ Đúng", "❌ Sai"))</f>
        <v/>
      </c>
      <c r="K44" s="14" t="n"/>
      <c r="L44" s="7">
        <f>IF(ISBLANK(K44), "", IF(UPPER(TRIM(K44))="A",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 xml:space="preserve">A premortem is an exercise in which teams imagine their project has already failed... Prompting teams to proactively develop mitigation strategies during the planning stage, _____ </t>
        </is>
      </c>
      <c r="E45" s="5" t="inlineStr">
        <is>
          <t>Which choice completes the text so that it conforms to the conventions of Standard English?</t>
        </is>
      </c>
      <c r="F45"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target _____ maintaining perfect balance during aerial maneuvers, such as vertical loops; and even walking across the wing...</t>
        </is>
      </c>
      <c r="E46" s="5" t="inlineStr">
        <is>
          <t>Which choice completes the text so that it conforms to the conventions of Standard English?</t>
        </is>
      </c>
      <c r="F46" s="5" t="inlineStr">
        <is>
          <t>A. target; maintaining
B. target maintaining
C. target. Maintaining
D. target, maintaining</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 an explanation for the consistent and seemingly deliberate placement of petroglyphs near water analyzed several sites on Caribbean islands.</t>
        </is>
      </c>
      <c r="E47" s="5" t="inlineStr">
        <is>
          <t>Which choice completes the text so that it conforms to the conventions of Standard English?</t>
        </is>
      </c>
      <c r="F47" s="5" t="inlineStr">
        <is>
          <t>A. had
B. sought
C. seeking
D. were seeking</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over the Jackson 5's major-key blues progression _____ a technique that, by inserting the grunge singer's vocal melody as pitch-shifted 'blue notes', creates an intensified 'bluesy' sound.</t>
        </is>
      </c>
      <c r="E48" s="5" t="inlineStr">
        <is>
          <t>Which choice completes the text so that it conforms to the conventions of Standard English?</t>
        </is>
      </c>
      <c r="F48" s="5" t="inlineStr">
        <is>
          <t>A. Robin, a technique that
B. Robin. A technique that
C. Robin; a technique that,
D. Robin—a technique that,</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 promoting systematic crop rotation techniques that replenished essential nitrogen in depleted soils.</t>
        </is>
      </c>
      <c r="E49" s="5" t="inlineStr">
        <is>
          <t>Which choice completes the text so that it conforms to the conventions of Standard English?</t>
        </is>
      </c>
      <c r="F49" s="5" t="inlineStr">
        <is>
          <t>A. South, by
B. South by
C. South: by
D. South; by</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star) _____ in the constellation Draco, 3.6 billion light-years from Earth, the powerful blast propelled particles into space.</t>
        </is>
      </c>
      <c r="E50" s="5" t="inlineStr">
        <is>
          <t>Which choice completes the text so that it conforms to the conventions of Standard English?</t>
        </is>
      </c>
      <c r="F50" s="5" t="inlineStr">
        <is>
          <t>A. star). Occurring
B. star) occurring
C. star) and occurring
D. star), occurring</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 xml:space="preserve">Originating during the Cretaceous period, _____ </t>
        </is>
      </c>
      <c r="E51" s="5" t="inlineStr">
        <is>
          <t>Which choice completes the text so that it conforms to the conventions of Standard English?</t>
        </is>
      </c>
      <c r="F51" s="5" t="inlineStr">
        <is>
          <t>A. entomologists have extensively examined fossilized resin deposits...
B. the fossilized amber specimens excavated in northern Myanmar preserve anatomical details of early arthropods.
C. paleontological excavation in northern Myanmar has uncovered...
D. arthropods were trapped and entombed within sticky conifer secretion...</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The researchers did not perform this analysis on all such ungulates, _____ they focused exclusively on elk in Wyoming.</t>
        </is>
      </c>
      <c r="E52" s="5" t="inlineStr">
        <is>
          <t>Which choice completes the text with the most logical transition?</t>
        </is>
      </c>
      <c r="F52" s="5" t="inlineStr">
        <is>
          <t>A. for instance;
B. in other words;
C. regardless;
D. however;</t>
        </is>
      </c>
      <c r="G52" s="14" t="n"/>
      <c r="H52" s="7">
        <f>IF(ISBLANK(G52), "⏳ Chờ đáp án", IF(UPPER(TRIM(G52))="C", "✅ Đúng", "❌ Sai"))</f>
        <v/>
      </c>
      <c r="I52" s="14" t="n"/>
      <c r="J52" s="7">
        <f>IF(ISBLANK(I52), "", IF(UPPER(TRIM(I52))="C", "✅ Đúng", "❌ Sai"))</f>
        <v/>
      </c>
      <c r="K52" s="14" t="n"/>
      <c r="L52" s="7">
        <f>IF(ISBLANK(K52), "", IF(UPPER(TRIM(K52))="C",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 under the Hornbostel-Sachs system, the saraswati veena is a chordophone.</t>
        </is>
      </c>
      <c r="E53" s="5" t="inlineStr">
        <is>
          <t>Which choice completes the text with the most logical transition?</t>
        </is>
      </c>
      <c r="F53" s="5" t="inlineStr">
        <is>
          <t>A. Furthermore,
B. Thus,
C. Similarly,
D. Instead,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helps it glide through wind with relative ease, _____ a boxy pickup truck encounters more wind resistance.</t>
        </is>
      </c>
      <c r="E54" s="5" t="inlineStr">
        <is>
          <t>Which choice completes the text with the most logical transition?</t>
        </is>
      </c>
      <c r="F54" s="5" t="inlineStr">
        <is>
          <t>A. additionally,
B. however,
C. for example,
D. meanwhile,</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Of the 206 ticker-tape parades held between 1886 and 2022, a number were for achievements in aviation. _____ Lindbergh's parade was just one of 16 honoring pilots.</t>
        </is>
      </c>
      <c r="E55" s="5" t="inlineStr">
        <is>
          <t>Which choice completes the text with the most logical transition?</t>
        </is>
      </c>
      <c r="F55" s="5" t="inlineStr">
        <is>
          <t>A. Indeed,
B. In addition,
C. Indeed,
D. Nevertheless,</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Scholars typically regard the serial version as less authoritative than the book version. _____ as scholar Philip Allingham notes, serialized texts were the versions in which nineteenth-century readership first saw itself reflected.</t>
        </is>
      </c>
      <c r="E56" s="5" t="inlineStr">
        <is>
          <t>Which choice completes the text with the most logical transition?</t>
        </is>
      </c>
      <c r="F56" s="5" t="inlineStr">
        <is>
          <t>A. Accordingly, they emphasize...
B. Still, the serial version is important to an understanding of the novel's historical context;
C. Consequently, the book version...
D. However, others regard...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Notes: Highpointers Club aims to reach the highest points in 50 US states (50 Completers). In Suk Han completed this on Nov 15, 2013. Timms Hill in Wisconsin (1,951 ft), Gannett Peak in Wyoming (13,809 ft).</t>
        </is>
      </c>
      <c r="E57" s="5" t="inlineStr">
        <is>
          <t>Which choice most effectively uses information from the given sentences to explain the 50 Completers hiking challenge to a new audience?</t>
        </is>
      </c>
      <c r="F57" s="5" t="inlineStr">
        <is>
          <t>A. If you are looking for a new hiking challenge, consider joining...
B. Not until after you have reached the highest points in all fifty US states—including Timms Hill in Wisconsin and Gannett Peak in Wyoming—can you include yourself among the 50 Completers of the Highpointers Club.
C. On November 15, 2013, In Suk Han finally completed...
D. Hikers aiming to count themselves among the 50 Completers...</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Notes: Enhanced rock weathering (ERW) spreads crushed basalt on farmland to capture CO2 and improve soil health. ERW is low-cost, low-tech compared to expensive energy-intensive methods. CO2 becomes stable bicarbonate in soil water flowing to oceans.</t>
        </is>
      </c>
      <c r="E58" s="5" t="inlineStr">
        <is>
          <t>The student wants to explain why ERW is a superior method for capturing CO2. Which choice most effectively uses relevant information from the notes to accomplish this goal?</t>
        </is>
      </c>
      <c r="F58" s="5" t="inlineStr">
        <is>
          <t>A. ERW improves soil health and helps farmers increase their income...
B. ERW removes CO2 from the air in a way that is both low-cost and low-tech.
C. CO2 captured by ERW becomes stable bicarbonate...
D. ERW is a method of spreading crushed basalt on farmland...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56
B. 156
C. 550
D. 650</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The estimated value of the bike was 275 dollars when it was purchased.
B. The estimated value of the bike 24 months after purchase was 275 dollars.
C. The estimated value decreased by 275 dollars in 24 months.
D. The estimated value decreased by 2.75% each year.</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 Enter the exact integer.</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29(x^2 + 1)
B. 29(x^2 + 29)
C. 29(29x^2 + 1)
D. 29(x^2 + 1/29)</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30
B. 90
C. 180
D. 270</t>
        </is>
      </c>
      <c r="G63" s="14" t="n"/>
      <c r="H63" s="7">
        <f>IF(ISBLANK(G63), "⏳ Chờ đáp án", IF(UPPER(TRIM(G63))="B", "✅ Đúng", "❌ Sai"))</f>
        <v/>
      </c>
      <c r="I63" s="14" t="n"/>
      <c r="J63" s="7">
        <f>IF(ISBLANK(I63), "", IF(UPPER(TRIM(I63))="B", "✅ Đúng", "❌ Sai"))</f>
        <v/>
      </c>
      <c r="K63" s="14" t="n"/>
      <c r="L63" s="7">
        <f>IF(ISBLANK(K63), "", IF(UPPER(TRIM(K63))="B",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Student-Produced Response (Grid-in). Enter the exact number.</t>
        </is>
      </c>
      <c r="G64" s="14" t="n"/>
      <c r="H64" s="7">
        <f>IF(ISBLANK(G64), "⏳ Chờ đáp án", IF(UPPER(TRIM(G64))="3", "✅ Đúng", "❌ Sai"))</f>
        <v/>
      </c>
      <c r="I64" s="14" t="n"/>
      <c r="J64" s="7">
        <f>IF(ISBLANK(I64), "", IF(UPPER(TRIM(I64))="3", "✅ Đúng", "❌ Sai"))</f>
        <v/>
      </c>
      <c r="K64" s="14" t="n"/>
      <c r="L64" s="7">
        <f>IF(ISBLANK(K64), "", IF(UPPER(TRIM(K64))="3",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 Enter the exact decimal.</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288
B. 196
C. 80
D. 16</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1
B. 0
C. 43
D. -43</t>
        </is>
      </c>
      <c r="G67" s="14" t="n"/>
      <c r="H67" s="7">
        <f>IF(ISBLANK(G67), "⏳ Chờ đáp án", IF(UPPER(TRIM(G67))="C", "✅ Đúng", "❌ Sai"))</f>
        <v/>
      </c>
      <c r="I67" s="14" t="n"/>
      <c r="J67" s="7">
        <f>IF(ISBLANK(I67), "", IF(UPPER(TRIM(I67))="C", "✅ Đúng", "❌ Sai"))</f>
        <v/>
      </c>
      <c r="K67" s="14" t="n"/>
      <c r="L67" s="7">
        <f>IF(ISBLANK(K67), "", IF(UPPER(TRIM(K67))="C",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y = 3x - 8
B. y = (1/3)x - 8
C. y = -x + 1/3
D. 3y = -x + 3</t>
        </is>
      </c>
      <c r="G68" s="14" t="n"/>
      <c r="H68" s="7">
        <f>IF(ISBLANK(G68), "⏳ Chờ đáp án", IF(UPPER(TRIM(G68))="A", "✅ Đúng", "❌ Sai"))</f>
        <v/>
      </c>
      <c r="I68" s="14" t="n"/>
      <c r="J68" s="7">
        <f>IF(ISBLANK(I68), "", IF(UPPER(TRIM(I68))="A", "✅ Đúng", "❌ Sai"))</f>
        <v/>
      </c>
      <c r="K68" s="14" t="n"/>
      <c r="L68" s="7">
        <f>IF(ISBLANK(K68), "", IF(UPPER(TRIM(K68))="A",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y = 0.2 + 2.25x
B. y = 0.2 - 2.25x
C. y = 2.25 + 0.2x
D. y = 2.25 - 0.2x</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(21, 0)
B. (0, -21)
C. (0, 21/b)
D. (-b/a, 0)</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0 &lt;= x &lt;= 2
B. (17)(0.5) &lt;= x &lt;= (24)(0.5)
C. 17 &lt;= x &lt;= 24
D. (17)(2) &lt;= x &lt;= (24)(2)</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 Enter the exact integer.</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 Enter the exact integer.</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v = 2K / 55^2
B. v = 55^2 / 2K
C. v = sqrt(55 / 2K)
D. v = sqrt(2K / 55)</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C(n) = 7,138(0.22)^n
B. C(n) = 7,138(1.22)^n
C. C(n) = 0.22(7,138)^n
D. C(n) = 1.22(7,138)^n</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1/sqrt(3)
B. 1/sqrt(2)
C. 1
D. sqrt(2)</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A. 11
B. 121
C. 15
D. 121/15</t>
        </is>
      </c>
      <c r="G77" s="14" t="n"/>
      <c r="H77" s="7">
        <f>IF(ISBLANK(G77), "⏳ Chờ đáp án", IF(UPPER(TRIM(G77))="A", "✅ Đúng", "❌ Sai"))</f>
        <v/>
      </c>
      <c r="I77" s="14" t="n"/>
      <c r="J77" s="7">
        <f>IF(ISBLANK(I77), "", IF(UPPER(TRIM(I77))="A", "✅ Đúng", "❌ Sai"))</f>
        <v/>
      </c>
      <c r="K77" s="14" t="n"/>
      <c r="L77" s="7">
        <f>IF(ISBLANK(K77), "", IF(UPPER(TRIM(K77))="A",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Student-Produced Response (Grid-in). Enter the exact integer or fraction.</t>
        </is>
      </c>
      <c r="G78" s="14" t="n"/>
      <c r="H78" s="7">
        <f>IF(ISBLANK(G78), "⏳ Chờ đáp án", IF(UPPER(TRIM(G78))="1", "✅ Đúng", "❌ Sai"))</f>
        <v/>
      </c>
      <c r="I78" s="14" t="n"/>
      <c r="J78" s="7">
        <f>IF(ISBLANK(I78), "", IF(UPPER(TRIM(I78))="1", "✅ Đúng", "❌ Sai"))</f>
        <v/>
      </c>
      <c r="K78" s="14" t="n"/>
      <c r="L78" s="7">
        <f>IF(ISBLANK(K78), "", IF(UPPER(TRIM(K78))="1",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A. 1
B. 2
C. 9
D. 18</t>
        </is>
      </c>
      <c r="G79" s="14" t="n"/>
      <c r="H79" s="7">
        <f>IF(ISBLANK(G79), "⏳ Chờ đáp án", IF(UPPER(TRIM(G79))="B", "✅ Đúng", "❌ Sai"))</f>
        <v/>
      </c>
      <c r="I79" s="14" t="n"/>
      <c r="J79" s="7">
        <f>IF(ISBLANK(I79), "", IF(UPPER(TRIM(I79))="B", "✅ Đúng", "❌ Sai"))</f>
        <v/>
      </c>
      <c r="K79" s="14" t="n"/>
      <c r="L79" s="7">
        <f>IF(ISBLANK(K79), "", IF(UPPER(TRIM(K79))="B",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40
B. 37
C. 32
D. 25</t>
        </is>
      </c>
      <c r="G80" s="14" t="n"/>
      <c r="H80" s="7">
        <f>IF(ISBLANK(G80), "⏳ Chờ đáp án", IF(UPPER(TRIM(G80))="D", "✅ Đúng", "❌ Sai"))</f>
        <v/>
      </c>
      <c r="I80" s="14" t="n"/>
      <c r="J80" s="7">
        <f>IF(ISBLANK(I80), "", IF(UPPER(TRIM(I80))="D", "✅ Đúng", "❌ Sai"))</f>
        <v/>
      </c>
      <c r="K80" s="14" t="n"/>
      <c r="L80" s="7">
        <f>IF(ISBLANK(K80), "", IF(UPPER(TRIM(K80))="D",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7
B. 14
C. 24.5
D. 49</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f(x) = 1.8x
B. f(x) = 0.6x
C. f(x) = 2,160x
D. f(x) = 4,320x</t>
        </is>
      </c>
      <c r="G82" s="14" t="n"/>
      <c r="H82" s="7">
        <f>IF(ISBLANK(G82), "⏳ Chờ đáp án", IF(UPPER(TRIM(G82))="A", "✅ Đúng", "❌ Sai"))</f>
        <v/>
      </c>
      <c r="I82" s="14" t="n"/>
      <c r="J82" s="7">
        <f>IF(ISBLANK(I82), "", IF(UPPER(TRIM(I82))="A", "✅ Đúng", "❌ Sai"))</f>
        <v/>
      </c>
      <c r="K82" s="14" t="n"/>
      <c r="L82" s="7">
        <f>IF(ISBLANK(K82), "", IF(UPPER(TRIM(K82))="A",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 Enter the exact integer.</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y = 70x + z
B. y = 70x + z + 46
C. y = 116x + z
D. y = 116x + 70z + 46</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A. -1
B. 0
C. -1
D. 1</t>
        </is>
      </c>
      <c r="G85" s="14" t="n"/>
      <c r="H85" s="7">
        <f>IF(ISBLANK(G85), "⏳ Chờ đáp án", IF(UPPER(TRIM(G85))="C", "✅ Đúng", "❌ Sai"))</f>
        <v/>
      </c>
      <c r="I85" s="14" t="n"/>
      <c r="J85" s="7">
        <f>IF(ISBLANK(I85), "", IF(UPPER(TRIM(I85))="C", "✅ Đúng", "❌ Sai"))</f>
        <v/>
      </c>
      <c r="K85" s="14" t="n"/>
      <c r="L85" s="7">
        <f>IF(ISBLANK(K85), "", IF(UPPER(TRIM(K85))="C",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-2/3
B. 2/3
C. -3/2
D. 3/2</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0.08%
B. 8%
C. 25%
D. 108%</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 Enter the exact integer.</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y &lt; 3x + 4
B. y &lt; 3x - 4
C. y &gt; 3x + 4
D. y &lt; -3x + 4</t>
        </is>
      </c>
      <c r="G89" s="14" t="n"/>
      <c r="H89" s="7">
        <f>IF(ISBLANK(G89), "⏳ Chờ đáp án", IF(UPPER(TRIM(G89))="D", "✅ Đúng", "❌ Sai"))</f>
        <v/>
      </c>
      <c r="I89" s="14" t="n"/>
      <c r="J89" s="7">
        <f>IF(ISBLANK(I89), "", IF(UPPER(TRIM(I89))="D", "✅ Đúng", "❌ Sai"))</f>
        <v/>
      </c>
      <c r="K89" s="14" t="n"/>
      <c r="L89" s="7">
        <f>IF(ISBLANK(K89), "", IF(UPPER(TRIM(K89))="D",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-86
B. -14
C. 23
D. 72</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-2
B. 3
C. 6
D. 8</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The mean age increases, and the median age increases.
B. The mean age for the new collection is greater than the original, but the median age is the same.
C. The mean age is less, and the median age is less.
D. The median age increases, but the mean age remains the same.</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14m - 2*sqrt(15)
B. -14m + 2*sqrt(15)
C. 7m/2 - sqrt(15)/2
D. -7m/2 + sqrt(15)/2</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18
B. 12
C. 17
D. 16</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5
B. 7
C. 8
D. 9</t>
        </is>
      </c>
      <c r="G95" s="14" t="n"/>
      <c r="H95" s="7">
        <f>IF(ISBLANK(G95), "⏳ Chờ đáp án", IF(UPPER(TRIM(G95))="B", "✅ Đúng", "❌ Sai"))</f>
        <v/>
      </c>
      <c r="I95" s="14" t="n"/>
      <c r="J95" s="7">
        <f>IF(ISBLANK(I95), "", IF(UPPER(TRIM(I95))="B", "✅ Đúng", "❌ Sai"))</f>
        <v/>
      </c>
      <c r="K95" s="14" t="n"/>
      <c r="L95" s="7">
        <f>IF(ISBLANK(K95), "", IF(UPPER(TRIM(K95))="B",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The gamers were not selected at random from all gamers worldwide.
B. The number of gamers is too small.
C. The number of gamers from each country is different.
D. Melatonin was not measured over a long enough period.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5/12
B. 12/5
C. 13/5
D. 12/13</t>
        </is>
      </c>
      <c r="G97" s="14" t="n"/>
      <c r="H97" s="7">
        <f>IF(ISBLANK(G97), "⏳ Chờ đáp án", IF(UPPER(TRIM(G97))="B", "✅ Đúng", "❌ Sai"))</f>
        <v/>
      </c>
      <c r="I97" s="14" t="n"/>
      <c r="J97" s="7">
        <f>IF(ISBLANK(I97), "", IF(UPPER(TRIM(I97))="B", "✅ Đúng", "❌ Sai"))</f>
        <v/>
      </c>
      <c r="K97" s="14" t="n"/>
      <c r="L97" s="7">
        <f>IF(ISBLANK(K97), "", IF(UPPER(TRIM(K97))="B",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2.41%
B. 3.41%
C. 241%
D. 341%</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-32
B. -16
C. -8
D. 24</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41
B. 40
C. 39
D. 38</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 Enter the exact number.</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 Enter the exact integer or fraction.</t>
        </is>
      </c>
      <c r="G102" s="14" t="n"/>
      <c r="H102" s="7">
        <f>IF(ISBLANK(G102), "⏳ Chờ đáp án", IF(UPPER(TRIM(G102))="362", "✅ Đúng", "❌ Sai"))</f>
        <v/>
      </c>
      <c r="I102" s="14" t="n"/>
      <c r="J102" s="7">
        <f>IF(ISBLANK(I102), "", IF(UPPER(TRIM(I102))="362", "✅ Đúng", "❌ Sai"))</f>
        <v/>
      </c>
      <c r="K102" s="14" t="n"/>
      <c r="L102" s="7">
        <f>IF(ISBLANK(K102), "", IF(UPPER(TRIM(K102))="362",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2026-10-27T01:20:57Z</dcterms:modified>
</cp:coreProperties>
</file>