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lỗi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Adapting
B. Isolating
C. Incorporating
D. Fabricating</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counteract
B. elude
C. tolerate
D. regulate</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predictable
B. innovative
C. idealistic
D. timeworn</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uncommon
B. superficial
C. sufficient
D. affordable</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It lists the number of cities in one country, then compares that number to the number of cities in another country.
B. It poses a question, then explains why the question has many answers.
C. It offers a recommendation, then provides reasons for that recommendation.
D. It describes two locations, then explains why only one of the locations is considered a city.</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To contrast the man’s desire to attend the meeting with his awareness of the risk involved in attending it
B. To compare the upcoming meeting to a far more serious experience from earlier in the man’s life
C. To depict the man’s insistence on meeting despite the inconvenience of traveling on horseback
D. To portray the man’s anxiety about the meeting as reflected by his physical state and demeanor</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To explain technological advances in modern forestry and demonstrate how they’ve transformed traditional practices
B. To analyze environmental challenges facing forests and describe how modern professionals address these problems
C. To compare career opportunities in modern forestry and explain which positions offer the best job security
D. To highlight career opportunities in modern forestry and describe how they integrate scientific knowledge and hands-on work</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By activating only the medium cones in the retina
B. By activating the long, medium, and short cones in the retina
C. By activating both the long and short cones in the retina
D. By activating only the long cones in the retina</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the same number of volcanoes that have been active since 1800 as Tanzania has.
B. no volcanoes that have been active since 1800.
C. more volcanoes that have been active since 1960 than Tanzania has.
D. fewer volcanoes that have been active since 1960 than Tanzania has.</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“Not all the stories anthologized in The Big Book of Cyberpunk were first published as stand-alone short stories in magazines or journals: for example, qntm’s 2021 story ‘Lena’ was originally self- published on the author’s site qntm.org.”
B. “The stories in The Big Book of Cyberpunk share a number of common themes indicative of cyberpunk as a whole: body modification; resistance to authority; the ways in which technological advancements alter human behavior.”
C. “Shurin’s characterization of cyberpunk is remarkably generous: it is a categorization that might well serve for the entire field of science fiction in general, rather than cyberpunk in particular.”
D. “A key component of cyberpunk that differentiates it from other subgenres of science fiction is an affection for the totems of 1980s pop culture, such as the mirrored sunglasses that were then popular.”</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It didn’t result from an overall contraction of that sector, since the total number of employees in that sector increased by several thousand during this period.
B. It was offset by changes in leisure and hospitality businesses, since the percentage of employees working in those businesses increased during this period.
C. It was driven primarily by changes in businesses classified as “other,” since those businesses had the lowest number of employees by the end of 2023.
D. It resulted from widespread workforce redistributions, since several thousand employees left that sector to take new jobs in the public sector during this period.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those that filed Form 4720 because they had excess holdings in a business enterprise paid, on average, a larger penalty than those that filed Form 4720 because they made taxable expenditures.
B. those that filed Form 4720 because they engaged in self-dealing paid an increasing percentage of the total penalty each year from 2003 to 2005.
C. those that filed Form 4720 in 2003 because they failed to meet the minimum charitable distribution requirement collectively paid a larger percentage of the total penalty assessed that year than those that filed Form 4720 in 2005 for the same reason.
D. those that filed Form 4720 in 2005 because they engaged in self-dealing collectively paid a larger percentage of the total penalty assessed that year than those that filed Form 990 but also filed Form 4720 for the same reason.</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“Since the prize of victory is so dear, / Endure it [acting deceitfully]—We’ll be just another day / But now, for one brief hour, devote thyself / To serve me without shame.”
B. “Go near now silently, and make me know / If still he persevere, and hold this spot, / Or have roamed elsewhere, that informed of this / I may proceed with what remains to say, / And we may act in concert.”
C. “Now let me show, why thine approach to him / Is safe and trustful as mine cannot be / Thou didst sail forth, not to redeem thine oath, / Nor by constraint, nor with the foremost band. / All which reproaches I must bear.”
D. “No moment for this talk, / Lest he discern my coming, and I lose / The scheme, wherewith I think to catch him soon.”</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fail to appreciate how much creativity Céline shows in the book.
B. overemphasize the extent to which Céline took inspiration from earlier writers.
C. refuse to acknowledge that Céline drew on real-world material when writing Journey to the End of the Night.
D. misrepresent Journey to the End of the Night as being more widely read than it actually is.</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delivery companies will need to keep experimenting with new ideas for last-mile delivery if they hope to keep pace with consumers’ expectations.
B. delivery companies will continue promising next-day delivery out of a desire to meet consumers’ expectations.
C. advances in last-mile technologies will slow as delivery companies focus more on meeting customer expectations for increased convenience.
D. innovations in the use of self-service lockers for last-mile delivery will stall unless delivery companies shift their focus to methods with fewer complications.</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city, which
B. city in which,
C. city that
D. city, that</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had likely continued
B. would likely have continued
C. had likely been continuing
D. will likely continue</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box,
B. box—
C. box
D. box:</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threefold. To
B. threefold: to
C. threefold; to
D. threefold to</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age, built
B. age: built
C. age and built
D. age built</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was
B. is
C. were
D. has been</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Similarly,
B. Lastly,
C. Instead,
D. Next,</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In conclusion,
B. Nevertheless,
C. Alternatively,
D. Specifically,</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Some crustaceans use a specialized claw to create high-speed water jets and a bubble that stuns the small fish they prey on.
B. Pistol shrimp are small marine creatures that use a specialized oversized claw to generate shock waves powerful enough to stun small fish.
C. Pushing water through a narrow groove at extreme speeds, the snapping shut of the shrimp’s claw sets the shock-wave hunting process in motion.
D. Pistol shrimp are preyed on by small marine crustaceans that create high-speed water jets to stun their prey.</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that explore the Black experience.
D. Elizabeth Catlett, a celebrated artist, was born in 1915.</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As of 2020, Chapantongo was one of 84 municipalities in Hidalgo, Mexico.
B. In 2020, the municipality of Chapantongo had a population of 12,967.
C. As a municipality in Hidalgo, Chapantongo is responsible for providing public services to its population.
D. Home to 12,271 people, the governmental region was responsible for providing traffic control to its population in 2010.</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Svetlana Boym’s The Future of Nostalgia explores the concept of nostalgia from various angles.
B. As Svetlana Boym writes in the seventeenth chapter of her book, “The poethics of nostalgia combines estrangement and human solidarity, affect and reflection.”
C. Literary theorist Svetlana Boym explores nostalgia and Europe’s largest shopping mall in chapter 8 of her book.
D. After exploring nostalgia and Europe’s largest shopping mall, Svetlana Boym goes on to discuss various skeptics’ takes on the concept of nostalgia. STOP If you finish before time is called, you may check your work on this module only. Do not turn to any other module in the test.</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neglect
B. misinterpretation
C. resolution
D. interplay</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throughput
B. staffing
C. overhead
D. liability</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optimizations
B. predictions
C. parameters
D. anomalies</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venerations
B. admonitions
C. obfuscations
D. exonerations</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It describes a natural phenomenon that is explained later in the text.
B. It presents a research finding that challenges the view mentioned in the first sentence of the text.
C. It acknowledges an exception to the pattern described in the first sentence of the text.
D. It discusses a natural occurrence that leads to the consequences explained later in the text.</t>
        </is>
      </c>
      <c r="F9" s="14" t="n"/>
      <c r="G9" s="7">
        <f>IF(ISBLANK(F9), "⏳ Chờ đáp án", IF(UPPER(TRIM(F9))="D", "✅ Đúng", "❌ Sai"))</f>
        <v/>
      </c>
      <c r="H9" s="14" t="n"/>
      <c r="I9" s="7">
        <f>IF(ISBLANK(H9), "", IF(UPPER(TRIM(H9))="D", "✅ Đúng", "❌ Sai"))</f>
        <v/>
      </c>
      <c r="J9" s="14" t="n"/>
      <c r="K9" s="7">
        <f>IF(ISBLANK(J9), "", IF(UPPER(TRIM(J9))="D",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It describes the appearance of a particular type of sinkhole, compares the formations of two sinkholes of that type, and then names the researchers who discovered the deepest known sinkhole of that type.
B. It compares a deep sinkhole to a shallower one, details the processes by which both sinkholes formed, and emphasizes the remarkable depth of the deeper sinkhole.
C. It explains how a particular sinkhole formed, evaluates that sinkhole’s unusual appearance, and names a research team that is studying the sinkhole.
D. It defines a kind of sinkhole, describes its typical appearance and formation, and provides information about the deepest known sinkhole.</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While the narrator of Text 1 and the author of Text 2 both refer to metaphorical palm trees, only the narrator of Text 1 suggests that the palm trees are representative of home.
B. While palm trees form part of a series conveying the variety of the natural world in both texts, only the author of Text 2 recognizes how closely interconnected palm trees are with other plants in their environment.
C. While the narrator of Text 1 and the author of Text 2 both discuss palm trees to suggest the value of experiencing the natural world, only the narrator of Text 1 alludes to the labor that goes into cultivating real palm trees.
D. While palm trees serve to evoke natural beauty in both texts, only the author of Text 2 expresses a close sense of identification with palm trees.</t>
        </is>
      </c>
      <c r="F11" s="14" t="n"/>
      <c r="G11" s="7">
        <f>IF(ISBLANK(F11), "⏳ Chờ đáp án", IF(UPPER(TRIM(F11))="A", "✅ Đúng", "❌ Sai"))</f>
        <v/>
      </c>
      <c r="H11" s="14" t="n"/>
      <c r="I11" s="7">
        <f>IF(ISBLANK(H11), "", IF(UPPER(TRIM(H11))="A", "✅ Đúng", "❌ Sai"))</f>
        <v/>
      </c>
      <c r="J11" s="14" t="n"/>
      <c r="K11" s="7">
        <f>IF(ISBLANK(J11), "", IF(UPPER(TRIM(J11))="A",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It is reasonable to conclude based on textual evidence from the vernacular riddles of early medieval England that they were mainly performed at large public gatherings, though documentation of the locations in which they were performed is unlikely to exist.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that era’s vernacular riddles to be more amusing than modern readers do, given that there is substantial evidence to indicate that they are best experienced in the context of an interactive performance rather than exclusively as written texts.
D. Scholars once assumed that the vernacular riddles of early medieval England were originally intended to be read silently, but newly uncovered historical documents corroborate Jill Frederick’s assertion that they may in fact have been intended primarily for oral performance.</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The pronunciation of this consonant is the principal difference between the Mexican and Castilian dialects of Spanish.
B. This consonant appears in a higher percentage of Nahuatl vocabulary than of Castilian vocabulary.
C. The pronunciation of this consonant in Nahuatl may have been affected by its pronunciation in Mexican Spanish.
D. The pronunciation of this consonant requires greater tension in the tongue in Nahuatl than in Castilian.</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Teff captures considerably more CO2 in fields where it is the sole cover crop compared with fields where it is grown alongside other species of cover crops.
B. Cover crops generally exhibit reduced carbon sequestration rates in fields exposed to high levels of greenhouse gas emissions compared with fields exposed to low levels of those emissions.
C. SOC stocks vary more in fields where cover crops have been grown for decades compared with fields where cover crops have only recently been introduced.
D. SOC stocks tend to be significantly lower in fields without cover crops compared with fields where cover crops have been grown for several years.</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the specific combination of brain regions involved in comprehending speech is likely contingent on the total context in which the speech is embedded.
B. the brain regions associated with sensory-motor functions are often involved in general comprehension, even in contexts that don’t involve descriptions of physical movement.
C. the brain regions most strongly associated with affective processing activate whenever a listener believes an utterance has emotional connotations, even if the speaker did not intend those connotations.
D. the areas of the brain that activate when processing speech will typically include areas primarily responsible for nonlinguistic functions, although the exact combination of areas may be impossible to determine.</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more frequently used for identifying species with physiological characteristics like those of Psychropotes dyscrita than morphological analysis is.
B. capable of providing greater physiological detail about a species than is the method used for Discantenna metallica.
C. better suited to distinguishing Discantenna metallica from morphologically similar species than to distinguishing Psychropotes dyscrita from morphologically similar species.
D. more likely to properly distinguish between morphologically similar but distinct invertebrate species than is the method used to identify Discantenna metallica.</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as a tree species in temperate forests becomes more abundant, individuals of that species are more likely to be found near conspecifics, enabling abundant species to exploit localized resources to a greater extent than rare species can.
B. even though rare tree species in temperate forests tend to cluster with conspecifics more than rare tree species in tropical forests do, they are sufficiently rare locally that they benefit from RSA more than rare tropical species do.
C. although rare tree species in temperate forests encounter relatively high local competition from conspecifics, they can thrive by exploiting resources that are underexploited by other local species.
D. while an increase in abundance in one tree species often leads to a reduction in abundance of nearby species, temperate tree species tend to play different roles in the same ecosystem, reducing the expected effect of abundance on aggregation.</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target; maintaining
B. target maintaining
C. target. Maintaining
D. target, maintaining</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had sought
B. sought
C. seeking
D. were seeking</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Robin,” a technique that
B. Robin.” A technique that
C. Robin”; a technique that,
D. Robin”—a technique that,</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South, by
B. South by
C. South; by
D. South: by</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star). Occurring
B. star) occurring
C. star) and occurring
D. star), occurring</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Originating during the Cretaceous period, ______</t>
        </is>
      </c>
      <c r="D24" s="5" t="inlineStr">
        <is>
          <t>Which choice completes the text so that it conforms to the conventions of Standard English?</t>
        </is>
      </c>
      <c r="E24"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for instance;
B. in other words;
C. regardless;
D. however;</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Furthermore,
B. Thus,
C. Similarly,
D. Instead,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additionally,
B. however,
C. for example,
D. meanwhile,</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Therefore,
B. Indeed,
C. In addition,
D. Nevertheless,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Accordingly, they emphasize the appeal of the serial version for Victorian audiences;
B. Still, the serial version is important to an understanding of the novel’s historical context;
C. Consequently, the book version of the novel is often favored over the serial version;
D. However, others regard the serial version as a more faithful representation of Eliot’s intentions;</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If you are looking for a new hiking challenge, consider joining the Highpointers Club, as did In Suk Han, a hiker who successfully reached the highest point in every US state.
B. Not until after you have reached the highest points in all fifty US states—including Timms Hill in Wisconsin and Gannett Peak in Wyoming—can you include yourself among the 50 Completers of the Highpointers Club.
C. On November 15, 2013, In Suk Han finally completed the feat of reaching the highest point in all fifty US states, including Timms Hill in Wisconsin and Gannett Peak in Wyoming.
D. Hikers aiming to count themselves among the 50 Completers must reach not only Wisconsin’s Timms Hill but also the even higher peak of Gannett Peak in Wyoming.</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ERW improves soil health and helps farmers increase their income from selling carbon credits.
B. ERW removes CO2 from the air in a way that is both low-cost and low-tech.
C. The CO2 captured by ERW becomes stable bicarbonate, which improves soil health by remaining in the ocean for hundreds of years.
D. ERW is a method of spreading crushed basalt on farmland to capture CO2, improving rural economies. STOP If you finish before time is called, you may check your work on this module only. Do not turn to any other module in the test.</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56
B. 156
C. 550
D. 650</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 Enter the exact integer.</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29(x^2 + 1)
B. 29(x^2 + 29)
C. 29(29x^2 + 1)
D. 29(x^2 + 1/29)</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30
B. 90
C. 180
D. 270</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Student-Produced Response (Grid-in). Enter the exact number.</t>
        </is>
      </c>
      <c r="F10" s="14" t="n"/>
      <c r="G10" s="7">
        <f>IF(ISBLANK(F10), "⏳ Chờ đáp án", IF(UPPER(TRIM(F10))="3", "✅ Đúng", "❌ Sai"))</f>
        <v/>
      </c>
      <c r="H10" s="14" t="n"/>
      <c r="I10" s="7">
        <f>IF(ISBLANK(H10), "", IF(UPPER(TRIM(H10))="3", "✅ Đúng", "❌ Sai"))</f>
        <v/>
      </c>
      <c r="J10" s="14" t="n"/>
      <c r="K10" s="7">
        <f>IF(ISBLANK(J10), "", IF(UPPER(TRIM(J10))="3",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 Enter the exact decimal.</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288
B. 196
C. 80
D. 16</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1
B. 0
C. 43
D. -43</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y = 3x - 8
B. y = (1/3)x - 8
C. y = -x + 1/3
D. 3y = -x + 3</t>
        </is>
      </c>
      <c r="F14" s="14" t="n"/>
      <c r="G14" s="7">
        <f>IF(ISBLANK(F14), "⏳ Chờ đáp án", IF(UPPER(TRIM(F14))="A", "✅ Đúng", "❌ Sai"))</f>
        <v/>
      </c>
      <c r="H14" s="14" t="n"/>
      <c r="I14" s="7">
        <f>IF(ISBLANK(H14), "", IF(UPPER(TRIM(H14))="A", "✅ Đúng", "❌ Sai"))</f>
        <v/>
      </c>
      <c r="J14" s="14" t="n"/>
      <c r="K14" s="7">
        <f>IF(ISBLANK(J14), "", IF(UPPER(TRIM(J14))="A",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y = 0.2 + 2.25x
B. y = 0.2 - 2.25x
C. y = 2.25 + 0.2x
D. y = 2.25 - 0.2x</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(21, 0)
B. (0, -21)
C. (0, 21/b)
D. (-b/a, 0)</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0 &lt;= x &lt;= 2
B. (17)(0.5) &lt;= x &lt;= (24)(0.5)
C. 17 &lt;= x &lt;= 24
D. (17)(2) &lt;= x &lt;= (24)(2)</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 Enter the exact integer.</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 Enter the exact integer.</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v = 2K / 55^2
B. v = 55^2 / 2K
C. v = sqrt(55 / 2K)
D. v = sqrt(2K / 55)</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C(n) = 7,138(0.22)^n
B. C(n) = 7,138(1.22)^n
C. C(n) = 0.22(7,138)^n
D. C(n) = 1.22(7,138)^n</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1/sqrt(3)
B. 1/sqrt(2)
C. 1
D. sqrt(2)</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A. 11
B. 121
C. 15
D. 121/15</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Student-Produced Response (Grid-in). Enter the exact integer or fraction.</t>
        </is>
      </c>
      <c r="F24" s="14" t="n"/>
      <c r="G24" s="7">
        <f>IF(ISBLANK(F24), "⏳ Chờ đáp án", IF(UPPER(TRIM(F24))="1", "✅ Đúng", "❌ Sai"))</f>
        <v/>
      </c>
      <c r="H24" s="14" t="n"/>
      <c r="I24" s="7">
        <f>IF(ISBLANK(H24), "", IF(UPPER(TRIM(H24))="1", "✅ Đúng", "❌ Sai"))</f>
        <v/>
      </c>
      <c r="J24" s="14" t="n"/>
      <c r="K24" s="7">
        <f>IF(ISBLANK(J24), "", IF(UPPER(TRIM(J24))="1",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A. 1
B. 2
C. 9
D. 18</t>
        </is>
      </c>
      <c r="F25" s="14" t="n"/>
      <c r="G25" s="7">
        <f>IF(ISBLANK(F25), "⏳ Chờ đáp án", IF(UPPER(TRIM(F25))="B", "✅ Đúng", "❌ Sai"))</f>
        <v/>
      </c>
      <c r="H25" s="14" t="n"/>
      <c r="I25" s="7">
        <f>IF(ISBLANK(H25), "", IF(UPPER(TRIM(H25))="B", "✅ Đúng", "❌ Sai"))</f>
        <v/>
      </c>
      <c r="J25" s="14" t="n"/>
      <c r="K25" s="7">
        <f>IF(ISBLANK(J25), "", IF(UPPER(TRIM(J25))="B",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40
B. 37
C. 32
D. 25</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7
B. 14
C. 24.5
D. 49</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f(x) = 1.8x
B. f(x) = 0.6x
C. f(x) = 2,160x
D. f(x) = 4,320x</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 Enter the exact integer.</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y = 70x + z
B. y = 70x + z + 46
C. y = 116x + z
D. y = 116x + 70z + 46</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A. -1
B. 0
C. -1
D. 1</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-2/3
B. 2/3
C. -3/2
D. 3/2</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 Enter the exact integer.</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y &lt; 3x + 4
B. y &lt; 3x - 4
C. y &gt; 3x + 4
D. y &lt; -3x + 4</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-86
B. -14
C. 23
D. 72</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-2
B. 3
C. 6
D. 8</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14m - 2*sqrt(15)
B. -14m + 2*sqrt(15)
C. 7m/2 - sqrt(15)/2
D. -7m/2 + sqrt(15)/2</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18
B. 12
C. 17
D. 16</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5
B. 7
C. 8
D. 9</t>
        </is>
      </c>
      <c r="F19" s="14" t="n"/>
      <c r="G19" s="7">
        <f>IF(ISBLANK(F19), "⏳ Chờ đáp án", IF(UPPER(TRIM(F19))="B", "✅ Đúng", "❌ Sai"))</f>
        <v/>
      </c>
      <c r="H19" s="14" t="n"/>
      <c r="I19" s="7">
        <f>IF(ISBLANK(H19), "", IF(UPPER(TRIM(H19))="B", "✅ Đúng", "❌ Sai"))</f>
        <v/>
      </c>
      <c r="J19" s="14" t="n"/>
      <c r="K19" s="7">
        <f>IF(ISBLANK(J19), "", IF(UPPER(TRIM(J19))="B",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The gamers were not selected at random from all gamers worldwide.
B. The number of gamers is too small.
C. The number of gamers from each country is different.
D. Melatonin was not measured over a long enough period.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5/12
B. 12/5
C. 13/5
D. 12/13</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2.41%
B. 3.41%
C. 241%
D. 341%</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-32
B. -16
C. -8
D. 24</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41
B. 40
C. 39
D. 38</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 Enter the exact number.</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 Enter the exact integer or fraction.</t>
        </is>
      </c>
      <c r="F26" s="14" t="n"/>
      <c r="G26" s="7">
        <f>IF(ISBLANK(F26), "⏳ Chờ đáp án", IF(UPPER(TRIM(F26))="362", "✅ Đúng", "❌ Sai"))</f>
        <v/>
      </c>
      <c r="H26" s="14" t="n"/>
      <c r="I26" s="7">
        <f>IF(ISBLANK(H26), "", IF(UPPER(TRIM(H26))="362", "✅ Đúng", "❌ Sai"))</f>
        <v/>
      </c>
      <c r="J26" s="14" t="n"/>
      <c r="K26" s="7">
        <f>IF(ISBLANK(J26), "", IF(UPPER(TRIM(J26))="362",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Adapting
B. Isolating
C. Incorporating
D. Fabricating</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counteract
B. elude
C. tolerate
D. regulate</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predictable
B. innovative
C. idealistic
D. timeworn</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uncommon
B. superficial
C. sufficient
D. affordable</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It lists the number of cities in one country, then compares that number to the number of cities in another country.
B. It poses a question, then explains why the question has many answers.
C. It offers a recommendation, then provides reasons for that recommendation.
D. It describes two locations, then explains why only one of the locations is considered a city.</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To contrast the man’s desire to attend the meeting with his awareness of the risk involved in attending it
B. To compare the upcoming meeting to a far more serious experience from earlier in the man’s life
C. To depict the man’s insistence on meeting despite the inconvenience of traveling on horseback
D. To portray the man’s anxiety about the meeting as reflected by his physical state and demeanor</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To explain technological advances in modern forestry and demonstrate how they’ve transformed traditional practices
B. To analyze environmental challenges facing forests and describe how modern professionals address these problems
C. To compare career opportunities in modern forestry and explain which positions offer the best job security
D. To highlight career opportunities in modern forestry and describe how they integrate scientific knowledge and hands-on work</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By activating only the medium cones in the retina
B. By activating the long, medium, and short cones in the retina
C. By activating both the long and short cones in the retina
D. By activating only the long cones in the retina</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the same number of volcanoes that have been active since 1800 as Tanzania has.
B. no volcanoes that have been active since 1800.
C. more volcanoes that have been active since 1960 than Tanzania has.
D. fewer volcanoes that have been active since 1960 than Tanzania has.</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“Not all the stories anthologized in The Big Book of Cyberpunk were first published as stand-alone short stories in magazines or journals: for example, qntm’s 2021 story ‘Lena’ was originally self- published on the author’s site qntm.org.”
B. “The stories in The Big Book of Cyberpunk share a number of common themes indicative of cyberpunk as a whole: body modification; resistance to authority; the ways in which technological advancements alter human behavior.”
C. “Shurin’s characterization of cyberpunk is remarkably generous: it is a categorization that might well serve for the entire field of science fiction in general, rather than cyberpunk in particular.”
D. “A key component of cyberpunk that differentiates it from other subgenres of science fiction is an affection for the totems of 1980s pop culture, such as the mirrored sunglasses that were then popular.”</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It didn’t result from an overall contraction of that sector, since the total number of employees in that sector increased by several thousand during this period.
B. It was offset by changes in leisure and hospitality businesses, since the percentage of employees working in those businesses increased during this period.
C. It was driven primarily by changes in businesses classified as “other,” since those businesses had the lowest number of employees by the end of 2023.
D. It resulted from widespread workforce redistributions, since several thousand employees left that sector to take new jobs in the public sector during this period.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those that filed Form 4720 because they had excess holdings in a business enterprise paid, on average, a larger penalty than those that filed Form 4720 because they made taxable expenditures.
B. those that filed Form 4720 because they engaged in self-dealing paid an increasing percentage of the total penalty each year from 2003 to 2005.
C. those that filed Form 4720 in 2003 because they failed to meet the minimum charitable distribution requirement collectively paid a larger percentage of the total penalty assessed that year than those that filed Form 4720 in 2005 for the same reason.
D. those that filed Form 4720 in 2005 because they engaged in self-dealing collectively paid a larger percentage of the total penalty assessed that year than those that filed Form 990 but also filed Form 4720 for the same reason.</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“Since the prize of victory is so dear, / Endure it [acting deceitfully]—We’ll be just another day / But now, for one brief hour, devote thyself / To serve me without shame.”
B. “Go near now silently, and make me know / If still he persevere, and hold this spot, / Or have roamed elsewhere, that informed of this / I may proceed with what remains to say, / And we may act in concert.”
C. “Now let me show, why thine approach to him / Is safe and trustful as mine cannot be / Thou didst sail forth, not to redeem thine oath, / Nor by constraint, nor with the foremost band. / All which reproaches I must bear.”
D. “No moment for this talk, / Lest he discern my coming, and I lose / The scheme, wherewith I think to catch him soon.”</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fail to appreciate how much creativity Céline shows in the book.
B. overemphasize the extent to which Céline took inspiration from earlier writers.
C. refuse to acknowledge that Céline drew on real-world material when writing Journey to the End of the Night.
D. misrepresent Journey to the End of the Night as being more widely read than it actually is.</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delivery companies will need to keep experimenting with new ideas for last-mile delivery if they hope to keep pace with consumers’ expectations.
B. delivery companies will continue promising next-day delivery out of a desire to meet consumers’ expectations.
C. advances in last-mile technologies will slow as delivery companies focus more on meeting customer expectations for increased convenience.
D. innovations in the use of self-service lockers for last-mile delivery will stall unless delivery companies shift their focus to methods with fewer complications.</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city, which
B. city in which,
C. city that
D. city, that</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had likely continued
B. would likely have continued
C. had likely been continuing
D. will likely continue</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box,
B. box—
C. box
D. box:</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threefold. To
B. threefold: to
C. threefold; to
D. threefold to</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age, built
B. age: built
C. age and built
D. age built</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was
B. is
C. were
D. has been</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Similarly,
B. Lastly,
C. Instead,
D. Next,</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In conclusion,
B. Nevertheless,
C. Alternatively,
D. Specifically,</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Some crustaceans use a specialized claw to create high-speed water jets and a bubble that stuns the small fish they prey on.
B. Pistol shrimp are small marine creatures that use a specialized oversized claw to generate shock waves powerful enough to stun small fish.
C. Pushing water through a narrow groove at extreme speeds, the snapping shut of the shrimp’s claw sets the shock-wave hunting process in motion.
D. Pistol shrimp are preyed on by small marine crustaceans that create high-speed water jets to stun their prey.</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that explore the Black experience.
D. Elizabeth Catlett, a celebrated artist, was born in 1915.</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As of 2020, Chapantongo was one of 84 municipalities in Hidalgo, Mexico.
B. In 2020, the municipality of Chapantongo had a population of 12,967.
C. As a municipality in Hidalgo, Chapantongo is responsible for providing public services to its population.
D. Home to 12,271 people, the governmental region was responsible for providing traffic control to its population in 2010.</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Svetlana Boym’s The Future of Nostalgia explores the concept of nostalgia from various angles.
B. As Svetlana Boym writes in the seventeenth chapter of her book, “The poethics of nostalgia combines estrangement and human solidarity, affect and reflection.”
C. Literary theorist Svetlana Boym explores nostalgia and Europe’s largest shopping mall in chapter 8 of her book.
D. After exploring nostalgia and Europe’s largest shopping mall, Svetlana Boym goes on to discuss various skeptics’ takes on the concept of nostalgia. STOP If you finish before time is called, you may check your work on this module only. Do not turn to any other module in the test.</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neglect
B. misinterpretation
C. resolution
D. interplay</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throughput
B. staffing
C. overhead
D. liability</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optimizations
B. predictions
C. parameters
D. anomalies</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venerations
B. admonitions
C. obfuscations
D. exonerations</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It describes a natural phenomenon that is explained later in the text.
B. It presents a research finding that challenges the view mentioned in the first sentence of the text.
C. It acknowledges an exception to the pattern described in the first sentence of the text.
D. It discusses a natural occurrence that leads to the consequences explained later in the text.</t>
        </is>
      </c>
      <c r="G36" s="14" t="n"/>
      <c r="H36" s="7">
        <f>IF(ISBLANK(G36), "⏳ Chờ đáp án", IF(UPPER(TRIM(G36))="D", "✅ Đúng", "❌ Sai"))</f>
        <v/>
      </c>
      <c r="I36" s="14" t="n"/>
      <c r="J36" s="7">
        <f>IF(ISBLANK(I36), "", IF(UPPER(TRIM(I36))="D", "✅ Đúng", "❌ Sai"))</f>
        <v/>
      </c>
      <c r="K36" s="14" t="n"/>
      <c r="L36" s="7">
        <f>IF(ISBLANK(K36), "", IF(UPPER(TRIM(K36))="D",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It describes the appearance of a particular type of sinkhole, compares the formations of two sinkholes of that type, and then names the researchers who discovered the deepest known sinkhole of that type.
B. It compares a deep sinkhole to a shallower one, details the processes by which both sinkholes formed, and emphasizes the remarkable depth of the deeper sinkhole.
C. It explains how a particular sinkhole formed, evaluates that sinkhole’s unusual appearance, and names a research team that is studying the sinkhole.
D. It defines a kind of sinkhole, describes its typical appearance and formation, and provides information about the deepest known sinkhole.</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While the narrator of Text 1 and the author of Text 2 both refer to metaphorical palm trees, only the narrator of Text 1 suggests that the palm trees are representative of home.
B. While palm trees form part of a series conveying the variety of the natural world in both texts, only the author of Text 2 recognizes how closely interconnected palm trees are with other plants in their environment.
C. While the narrator of Text 1 and the author of Text 2 both discuss palm trees to suggest the value of experiencing the natural world, only the narrator of Text 1 alludes to the labor that goes into cultivating real palm trees.
D. While palm trees serve to evoke natural beauty in both texts, only the author of Text 2 expresses a close sense of identification with palm trees.</t>
        </is>
      </c>
      <c r="G38" s="14" t="n"/>
      <c r="H38" s="7">
        <f>IF(ISBLANK(G38), "⏳ Chờ đáp án", IF(UPPER(TRIM(G38))="A", "✅ Đúng", "❌ Sai"))</f>
        <v/>
      </c>
      <c r="I38" s="14" t="n"/>
      <c r="J38" s="7">
        <f>IF(ISBLANK(I38), "", IF(UPPER(TRIM(I38))="A", "✅ Đúng", "❌ Sai"))</f>
        <v/>
      </c>
      <c r="K38" s="14" t="n"/>
      <c r="L38" s="7">
        <f>IF(ISBLANK(K38), "", IF(UPPER(TRIM(K38))="A",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It is reasonable to conclude based on textual evidence from the vernacular riddles of early medieval England that they were mainly performed at large public gatherings, though documentation of the locations in which they were performed is unlikely to exist.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that era’s vernacular riddles to be more amusing than modern readers do, given that there is substantial evidence to indicate that they are best experienced in the context of an interactive performance rather than exclusively as written texts.
D. Scholars once assumed that the vernacular riddles of early medieval England were originally intended to be read silently, but newly uncovered historical documents corroborate Jill Frederick’s assertion that they may in fact have been intended primarily for oral performance.</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The pronunciation of this consonant is the principal difference between the Mexican and Castilian dialects of Spanish.
B. This consonant appears in a higher percentage of Nahuatl vocabulary than of Castilian vocabulary.
C. The pronunciation of this consonant in Nahuatl may have been affected by its pronunciation in Mexican Spanish.
D. The pronunciation of this consonant requires greater tension in the tongue in Nahuatl than in Castilian.</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Teff captures considerably more CO2 in fields where it is the sole cover crop compared with fields where it is grown alongside other species of cover crops.
B. Cover crops generally exhibit reduced carbon sequestration rates in fields exposed to high levels of greenhouse gas emissions compared with fields exposed to low levels of those emissions.
C. SOC stocks vary more in fields where cover crops have been grown for decades compared with fields where cover crops have only recently been introduced.
D. SOC stocks tend to be significantly lower in fields without cover crops compared with fields where cover crops have been grown for several years.</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the specific combination of brain regions involved in comprehending speech is likely contingent on the total context in which the speech is embedded.
B. the brain regions associated with sensory-motor functions are often involved in general comprehension, even in contexts that don’t involve descriptions of physical movement.
C. the brain regions most strongly associated with affective processing activate whenever a listener believes an utterance has emotional connotations, even if the speaker did not intend those connotations.
D. the areas of the brain that activate when processing speech will typically include areas primarily responsible for nonlinguistic functions, although the exact combination of areas may be impossible to determine.</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more frequently used for identifying species with physiological characteristics like those of Psychropotes dyscrita than morphological analysis is.
B. capable of providing greater physiological detail about a species than is the method used for Discantenna metallica.
C. better suited to distinguishing Discantenna metallica from morphologically similar species than to distinguishing Psychropotes dyscrita from morphologically similar species.
D. more likely to properly distinguish between morphologically similar but distinct invertebrate species than is the method used to identify Discantenna metallica.</t>
        </is>
      </c>
      <c r="G43" s="14" t="n"/>
      <c r="H43" s="7">
        <f>IF(ISBLANK(G43), "⏳ Chờ đáp án", IF(UPPER(TRIM(G43))="C", "✅ Đúng", "❌ Sai"))</f>
        <v/>
      </c>
      <c r="I43" s="14" t="n"/>
      <c r="J43" s="7">
        <f>IF(ISBLANK(I43), "", IF(UPPER(TRIM(I43))="C", "✅ Đúng", "❌ Sai"))</f>
        <v/>
      </c>
      <c r="K43" s="14" t="n"/>
      <c r="L43" s="7">
        <f>IF(ISBLANK(K43), "", IF(UPPER(TRIM(K43))="C",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as a tree species in temperate forests becomes more abundant, individuals of that species are more likely to be found near conspecifics, enabling abundant species to exploit localized resources to a greater extent than rare species can.
B. even though rare tree species in temperate forests tend to cluster with conspecifics more than rare tree species in tropical forests do, they are sufficiently rare locally that they benefit from RSA more than rare tropical species do.
C. although rare tree species in temperate forests encounter relatively high local competition from conspecifics, they can thrive by exploiting resources that are underexploited by other local species.
D. while an increase in abundance in one tree species often leads to a reduction in abundance of nearby species, temperate tree species tend to play different roles in the same ecosystem, reducing the expected effect of abundance on aggregation.</t>
        </is>
      </c>
      <c r="G44" s="14" t="n"/>
      <c r="H44" s="7">
        <f>IF(ISBLANK(G44), "⏳ Chờ đáp án", IF(UPPER(TRIM(G44))="A", "✅ Đúng", "❌ Sai"))</f>
        <v/>
      </c>
      <c r="I44" s="14" t="n"/>
      <c r="J44" s="7">
        <f>IF(ISBLANK(I44), "", IF(UPPER(TRIM(I44))="A", "✅ Đúng", "❌ Sai"))</f>
        <v/>
      </c>
      <c r="K44" s="14" t="n"/>
      <c r="L44" s="7">
        <f>IF(ISBLANK(K44), "", IF(UPPER(TRIM(K44))="A",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target; maintaining
B. target maintaining
C. target. Maintaining
D. target, maintaining</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had sought
B. sought
C. seeking
D. were seeking</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Robin,” a technique that
B. Robin.” A technique that
C. Robin”; a technique that,
D. Robin”—a technique that,</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South, by
B. South by
C. South; by
D. South: by</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star). Occurring
B. star) occurring
C. star) and occurring
D. star), occurring</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Originating during the Cretaceous period, ______</t>
        </is>
      </c>
      <c r="E51" s="5" t="inlineStr">
        <is>
          <t>Which choice completes the text so that it conforms to the conventions of Standard English?</t>
        </is>
      </c>
      <c r="F51"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for instance;
B. in other words;
C. regardless;
D. however;</t>
        </is>
      </c>
      <c r="G52" s="14" t="n"/>
      <c r="H52" s="7">
        <f>IF(ISBLANK(G52), "⏳ Chờ đáp án", IF(UPPER(TRIM(G52))="C", "✅ Đúng", "❌ Sai"))</f>
        <v/>
      </c>
      <c r="I52" s="14" t="n"/>
      <c r="J52" s="7">
        <f>IF(ISBLANK(I52), "", IF(UPPER(TRIM(I52))="C", "✅ Đúng", "❌ Sai"))</f>
        <v/>
      </c>
      <c r="K52" s="14" t="n"/>
      <c r="L52" s="7">
        <f>IF(ISBLANK(K52), "", IF(UPPER(TRIM(K52))="C",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Furthermore,
B. Thus,
C. Similarly,
D. Instead,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additionally,
B. however,
C. for example,
D. meanwhile,</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Therefore,
B. Indeed,
C. In addition,
D. Nevertheless,</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Accordingly, they emphasize the appeal of the serial version for Victorian audiences;
B. Still, the serial version is important to an understanding of the novel’s historical context;
C. Consequently, the book version of the novel is often favored over the serial version;
D. However, others regard the serial version as a more faithful representation of Eliot’s intentions;</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If you are looking for a new hiking challenge, consider joining the Highpointers Club, as did In Suk Han, a hiker who successfully reached the highest point in every US state.
B. Not until after you have reached the highest points in all fifty US states—including Timms Hill in Wisconsin and Gannett Peak in Wyoming—can you include yourself among the 50 Completers of the Highpointers Club.
C. On November 15, 2013, In Suk Han finally completed the feat of reaching the highest point in all fifty US states, including Timms Hill in Wisconsin and Gannett Peak in Wyoming.
D. Hikers aiming to count themselves among the 50 Completers must reach not only Wisconsin’s Timms Hill but also the even higher peak of Gannett Peak in Wyoming.</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ERW improves soil health and helps farmers increase their income from selling carbon credits.
B. ERW removes CO2 from the air in a way that is both low-cost and low-tech.
C. The CO2 captured by ERW becomes stable bicarbonate, which improves soil health by remaining in the ocean for hundreds of years.
D. ERW is a method of spreading crushed basalt on farmland to capture CO2, improving rural economies. STOP If you finish before time is called, you may check your work on this module only. Do not turn to any other module in the test.</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56
B. 156
C. 550
D. 650</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 Enter the exact integer.</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29(x^2 + 1)
B. 29(x^2 + 29)
C. 29(29x^2 + 1)
D. 29(x^2 + 1/29)</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30
B. 90
C. 180
D. 270</t>
        </is>
      </c>
      <c r="G63" s="14" t="n"/>
      <c r="H63" s="7">
        <f>IF(ISBLANK(G63), "⏳ Chờ đáp án", IF(UPPER(TRIM(G63))="B", "✅ Đúng", "❌ Sai"))</f>
        <v/>
      </c>
      <c r="I63" s="14" t="n"/>
      <c r="J63" s="7">
        <f>IF(ISBLANK(I63), "", IF(UPPER(TRIM(I63))="B", "✅ Đúng", "❌ Sai"))</f>
        <v/>
      </c>
      <c r="K63" s="14" t="n"/>
      <c r="L63" s="7">
        <f>IF(ISBLANK(K63), "", IF(UPPER(TRIM(K63))="B",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Student-Produced Response (Grid-in). Enter the exact number.</t>
        </is>
      </c>
      <c r="G64" s="14" t="n"/>
      <c r="H64" s="7">
        <f>IF(ISBLANK(G64), "⏳ Chờ đáp án", IF(UPPER(TRIM(G64))="3", "✅ Đúng", "❌ Sai"))</f>
        <v/>
      </c>
      <c r="I64" s="14" t="n"/>
      <c r="J64" s="7">
        <f>IF(ISBLANK(I64), "", IF(UPPER(TRIM(I64))="3", "✅ Đúng", "❌ Sai"))</f>
        <v/>
      </c>
      <c r="K64" s="14" t="n"/>
      <c r="L64" s="7">
        <f>IF(ISBLANK(K64), "", IF(UPPER(TRIM(K64))="3",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 Enter the exact decimal.</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288
B. 196
C. 80
D. 16</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1
B. 0
C. 43
D. -43</t>
        </is>
      </c>
      <c r="G67" s="14" t="n"/>
      <c r="H67" s="7">
        <f>IF(ISBLANK(G67), "⏳ Chờ đáp án", IF(UPPER(TRIM(G67))="C", "✅ Đúng", "❌ Sai"))</f>
        <v/>
      </c>
      <c r="I67" s="14" t="n"/>
      <c r="J67" s="7">
        <f>IF(ISBLANK(I67), "", IF(UPPER(TRIM(I67))="C", "✅ Đúng", "❌ Sai"))</f>
        <v/>
      </c>
      <c r="K67" s="14" t="n"/>
      <c r="L67" s="7">
        <f>IF(ISBLANK(K67), "", IF(UPPER(TRIM(K67))="C",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y = 3x - 8
B. y = (1/3)x - 8
C. y = -x + 1/3
D. 3y = -x + 3</t>
        </is>
      </c>
      <c r="G68" s="14" t="n"/>
      <c r="H68" s="7">
        <f>IF(ISBLANK(G68), "⏳ Chờ đáp án", IF(UPPER(TRIM(G68))="A", "✅ Đúng", "❌ Sai"))</f>
        <v/>
      </c>
      <c r="I68" s="14" t="n"/>
      <c r="J68" s="7">
        <f>IF(ISBLANK(I68), "", IF(UPPER(TRIM(I68))="A", "✅ Đúng", "❌ Sai"))</f>
        <v/>
      </c>
      <c r="K68" s="14" t="n"/>
      <c r="L68" s="7">
        <f>IF(ISBLANK(K68), "", IF(UPPER(TRIM(K68))="A",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y = 0.2 + 2.25x
B. y = 0.2 - 2.25x
C. y = 2.25 + 0.2x
D. y = 2.25 - 0.2x</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(21, 0)
B. (0, -21)
C. (0, 21/b)
D. (-b/a, 0)</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0 &lt;= x &lt;= 2
B. (17)(0.5) &lt;= x &lt;= (24)(0.5)
C. 17 &lt;= x &lt;= 24
D. (17)(2) &lt;= x &lt;= (24)(2)</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 Enter the exact integer.</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 Enter the exact integer.</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v = 2K / 55^2
B. v = 55^2 / 2K
C. v = sqrt(55 / 2K)
D. v = sqrt(2K / 55)</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C(n) = 7,138(0.22)^n
B. C(n) = 7,138(1.22)^n
C. C(n) = 0.22(7,138)^n
D. C(n) = 1.22(7,138)^n</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1/sqrt(3)
B. 1/sqrt(2)
C. 1
D. sqrt(2)</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A. 11
B. 121
C. 15
D. 121/15</t>
        </is>
      </c>
      <c r="G77" s="14" t="n"/>
      <c r="H77" s="7">
        <f>IF(ISBLANK(G77), "⏳ Chờ đáp án", IF(UPPER(TRIM(G77))="A", "✅ Đúng", "❌ Sai"))</f>
        <v/>
      </c>
      <c r="I77" s="14" t="n"/>
      <c r="J77" s="7">
        <f>IF(ISBLANK(I77), "", IF(UPPER(TRIM(I77))="A", "✅ Đúng", "❌ Sai"))</f>
        <v/>
      </c>
      <c r="K77" s="14" t="n"/>
      <c r="L77" s="7">
        <f>IF(ISBLANK(K77), "", IF(UPPER(TRIM(K77))="A",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Student-Produced Response (Grid-in). Enter the exact integer or fraction.</t>
        </is>
      </c>
      <c r="G78" s="14" t="n"/>
      <c r="H78" s="7">
        <f>IF(ISBLANK(G78), "⏳ Chờ đáp án", IF(UPPER(TRIM(G78))="1", "✅ Đúng", "❌ Sai"))</f>
        <v/>
      </c>
      <c r="I78" s="14" t="n"/>
      <c r="J78" s="7">
        <f>IF(ISBLANK(I78), "", IF(UPPER(TRIM(I78))="1", "✅ Đúng", "❌ Sai"))</f>
        <v/>
      </c>
      <c r="K78" s="14" t="n"/>
      <c r="L78" s="7">
        <f>IF(ISBLANK(K78), "", IF(UPPER(TRIM(K78))="1",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A. 1
B. 2
C. 9
D. 18</t>
        </is>
      </c>
      <c r="G79" s="14" t="n"/>
      <c r="H79" s="7">
        <f>IF(ISBLANK(G79), "⏳ Chờ đáp án", IF(UPPER(TRIM(G79))="B", "✅ Đúng", "❌ Sai"))</f>
        <v/>
      </c>
      <c r="I79" s="14" t="n"/>
      <c r="J79" s="7">
        <f>IF(ISBLANK(I79), "", IF(UPPER(TRIM(I79))="B", "✅ Đúng", "❌ Sai"))</f>
        <v/>
      </c>
      <c r="K79" s="14" t="n"/>
      <c r="L79" s="7">
        <f>IF(ISBLANK(K79), "", IF(UPPER(TRIM(K79))="B",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40
B. 37
C. 32
D. 25</t>
        </is>
      </c>
      <c r="G80" s="14" t="n"/>
      <c r="H80" s="7">
        <f>IF(ISBLANK(G80), "⏳ Chờ đáp án", IF(UPPER(TRIM(G80))="D", "✅ Đúng", "❌ Sai"))</f>
        <v/>
      </c>
      <c r="I80" s="14" t="n"/>
      <c r="J80" s="7">
        <f>IF(ISBLANK(I80), "", IF(UPPER(TRIM(I80))="D", "✅ Đúng", "❌ Sai"))</f>
        <v/>
      </c>
      <c r="K80" s="14" t="n"/>
      <c r="L80" s="7">
        <f>IF(ISBLANK(K80), "", IF(UPPER(TRIM(K80))="D",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7
B. 14
C. 24.5
D. 49</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f(x) = 1.8x
B. f(x) = 0.6x
C. f(x) = 2,160x
D. f(x) = 4,320x</t>
        </is>
      </c>
      <c r="G82" s="14" t="n"/>
      <c r="H82" s="7">
        <f>IF(ISBLANK(G82), "⏳ Chờ đáp án", IF(UPPER(TRIM(G82))="A", "✅ Đúng", "❌ Sai"))</f>
        <v/>
      </c>
      <c r="I82" s="14" t="n"/>
      <c r="J82" s="7">
        <f>IF(ISBLANK(I82), "", IF(UPPER(TRIM(I82))="A", "✅ Đúng", "❌ Sai"))</f>
        <v/>
      </c>
      <c r="K82" s="14" t="n"/>
      <c r="L82" s="7">
        <f>IF(ISBLANK(K82), "", IF(UPPER(TRIM(K82))="A",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 Enter the exact integer.</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y = 70x + z
B. y = 70x + z + 46
C. y = 116x + z
D. y = 116x + 70z + 46</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A. -1
B. 0
C. -1
D. 1</t>
        </is>
      </c>
      <c r="G85" s="14" t="n"/>
      <c r="H85" s="7">
        <f>IF(ISBLANK(G85), "⏳ Chờ đáp án", IF(UPPER(TRIM(G85))="C", "✅ Đúng", "❌ Sai"))</f>
        <v/>
      </c>
      <c r="I85" s="14" t="n"/>
      <c r="J85" s="7">
        <f>IF(ISBLANK(I85), "", IF(UPPER(TRIM(I85))="C", "✅ Đúng", "❌ Sai"))</f>
        <v/>
      </c>
      <c r="K85" s="14" t="n"/>
      <c r="L85" s="7">
        <f>IF(ISBLANK(K85), "", IF(UPPER(TRIM(K85))="C",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-2/3
B. 2/3
C. -3/2
D. 3/2</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 Enter the exact integer.</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y &lt; 3x + 4
B. y &lt; 3x - 4
C. y &gt; 3x + 4
D. y &lt; -3x + 4</t>
        </is>
      </c>
      <c r="G89" s="14" t="n"/>
      <c r="H89" s="7">
        <f>IF(ISBLANK(G89), "⏳ Chờ đáp án", IF(UPPER(TRIM(G89))="D", "✅ Đúng", "❌ Sai"))</f>
        <v/>
      </c>
      <c r="I89" s="14" t="n"/>
      <c r="J89" s="7">
        <f>IF(ISBLANK(I89), "", IF(UPPER(TRIM(I89))="D", "✅ Đúng", "❌ Sai"))</f>
        <v/>
      </c>
      <c r="K89" s="14" t="n"/>
      <c r="L89" s="7">
        <f>IF(ISBLANK(K89), "", IF(UPPER(TRIM(K89))="D",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-86
B. -14
C. 23
D. 72</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-2
B. 3
C. 6
D. 8</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14m - 2*sqrt(15)
B. -14m + 2*sqrt(15)
C. 7m/2 - sqrt(15)/2
D. -7m/2 + sqrt(15)/2</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18
B. 12
C. 17
D. 16</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5
B. 7
C. 8
D. 9</t>
        </is>
      </c>
      <c r="G95" s="14" t="n"/>
      <c r="H95" s="7">
        <f>IF(ISBLANK(G95), "⏳ Chờ đáp án", IF(UPPER(TRIM(G95))="B", "✅ Đúng", "❌ Sai"))</f>
        <v/>
      </c>
      <c r="I95" s="14" t="n"/>
      <c r="J95" s="7">
        <f>IF(ISBLANK(I95), "", IF(UPPER(TRIM(I95))="B", "✅ Đúng", "❌ Sai"))</f>
        <v/>
      </c>
      <c r="K95" s="14" t="n"/>
      <c r="L95" s="7">
        <f>IF(ISBLANK(K95), "", IF(UPPER(TRIM(K95))="B",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The gamers were not selected at random from all gamers worldwide.
B. The number of gamers is too small.
C. The number of gamers from each country is different.
D. Melatonin was not measured over a long enough period.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5/12
B. 12/5
C. 13/5
D. 12/13</t>
        </is>
      </c>
      <c r="G97" s="14" t="n"/>
      <c r="H97" s="7">
        <f>IF(ISBLANK(G97), "⏳ Chờ đáp án", IF(UPPER(TRIM(G97))="B", "✅ Đúng", "❌ Sai"))</f>
        <v/>
      </c>
      <c r="I97" s="14" t="n"/>
      <c r="J97" s="7">
        <f>IF(ISBLANK(I97), "", IF(UPPER(TRIM(I97))="B", "✅ Đúng", "❌ Sai"))</f>
        <v/>
      </c>
      <c r="K97" s="14" t="n"/>
      <c r="L97" s="7">
        <f>IF(ISBLANK(K97), "", IF(UPPER(TRIM(K97))="B",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2.41%
B. 3.41%
C. 241%
D. 341%</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-32
B. -16
C. -8
D. 24</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41
B. 40
C. 39
D. 38</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 Enter the exact number.</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 Enter the exact integer or fraction.</t>
        </is>
      </c>
      <c r="G102" s="14" t="n"/>
      <c r="H102" s="7">
        <f>IF(ISBLANK(G102), "⏳ Chờ đáp án", IF(UPPER(TRIM(G102))="362", "✅ Đúng", "❌ Sai"))</f>
        <v/>
      </c>
      <c r="I102" s="14" t="n"/>
      <c r="J102" s="7">
        <f>IF(ISBLANK(I102), "", IF(UPPER(TRIM(I102))="362", "✅ Đúng", "❌ Sai"))</f>
        <v/>
      </c>
      <c r="K102" s="14" t="n"/>
      <c r="L102" s="7">
        <f>IF(ISBLANK(K102), "", IF(UPPER(TRIM(K102))="362",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2026-10-27T05:14:13Z</dcterms:modified>
</cp:coreProperties>
</file>