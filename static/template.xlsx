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_Strategies" sheetId="1" state="visible" r:id="rId1"/>
    <sheet xmlns:r="http://schemas.openxmlformats.org/officeDocument/2006/relationships" name="Performance_Summary" sheetId="2" state="visible" r:id="rId2"/>
    <sheet xmlns:r="http://schemas.openxmlformats.org/officeDocument/2006/relationships" name="SAT_Error_Log_Tracker" sheetId="3" state="visible" r:id="rId3"/>
    <sheet xmlns:r="http://schemas.openxmlformats.org/officeDocument/2006/relationships" name="RW_Module1" sheetId="4" state="visible" r:id="rId4"/>
    <sheet xmlns:r="http://schemas.openxmlformats.org/officeDocument/2006/relationships" name="RW_Module2" sheetId="5" state="visible" r:id="rId5"/>
    <sheet xmlns:r="http://schemas.openxmlformats.org/officeDocument/2006/relationships" name="Math_Module1" sheetId="6" state="visible" r:id="rId6"/>
    <sheet xmlns:r="http://schemas.openxmlformats.org/officeDocument/2006/relationships" name="Math_Module2" sheetId="7" state="visible" r:id="rId7"/>
    <sheet xmlns:r="http://schemas.openxmlformats.org/officeDocument/2006/relationships" name="Master_All_98_Question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color theme="1"/>
      <sz val="11"/>
      <scheme val="minor"/>
    </font>
    <font>
      <name val="Calibri"/>
      <b val="1"/>
      <color rgb="FF1F4E78"/>
      <sz val="14"/>
    </font>
    <font>
      <name val="Calibri"/>
      <i val="1"/>
      <color rgb="FF595959"/>
      <sz val="11"/>
    </font>
    <font>
      <name val="Calibri"/>
      <b val="1"/>
      <color rgb="FFFFFFFF"/>
      <sz val="11"/>
    </font>
    <font>
      <name val="Calibri"/>
      <b val="1"/>
      <color rgb="FFFFFFFF"/>
      <sz val="10"/>
    </font>
    <font>
      <name val="Calibri"/>
      <color theme="1"/>
      <sz val="11"/>
    </font>
    <font>
      <name val="Calibri"/>
      <b val="1"/>
      <color theme="1"/>
      <sz val="12"/>
    </font>
    <font>
      <name val="Calibri"/>
      <b val="1"/>
      <color theme="1"/>
      <sz val="11"/>
    </font>
    <font>
      <name val="Segoe UI"/>
      <b val="1"/>
      <color rgb="00FFFFFF"/>
      <sz val="14"/>
    </font>
    <font>
      <name val="Segoe UI"/>
      <b val="1"/>
      <color rgb="001E293B"/>
      <sz val="11"/>
    </font>
    <font>
      <name val="Segoe UI"/>
      <color rgb="00334155"/>
      <sz val="11"/>
    </font>
    <font>
      <name val="Segoe UI"/>
      <b val="1"/>
      <color rgb="000369A1"/>
      <sz val="12"/>
    </font>
    <font>
      <name val="Segoe UI"/>
      <color rgb="000F172A"/>
      <sz val="11"/>
    </font>
    <font>
      <name val="Segoe UI"/>
      <b val="1"/>
      <color rgb="00FFFFFF"/>
      <sz val="11"/>
    </font>
  </fonts>
  <fills count="11">
    <fill>
      <patternFill/>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000F172A"/>
        <bgColor rgb="000F172A"/>
      </patternFill>
    </fill>
    <fill>
      <patternFill patternType="solid">
        <fgColor rgb="00E0F2FE"/>
        <bgColor rgb="00E0F2FE"/>
      </patternFill>
    </fill>
    <fill>
      <patternFill patternType="solid">
        <fgColor rgb="000284C7"/>
        <bgColor rgb="000284C7"/>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5" fillId="0" borderId="3" applyAlignment="1" pivotButton="0" quotePrefix="0" xfId="0">
      <alignment horizontal="left" vertical="center" wrapText="1"/>
    </xf>
    <xf numFmtId="0" fontId="6"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7" fillId="4" borderId="2" applyAlignment="1" pivotButton="0" quotePrefix="0" xfId="0">
      <alignment horizontal="center" vertical="center" wrapText="1"/>
    </xf>
    <xf numFmtId="0" fontId="7" fillId="6" borderId="2" applyAlignment="1" pivotButton="0" quotePrefix="0" xfId="0">
      <alignment horizontal="center" vertical="center" wrapText="1"/>
    </xf>
    <xf numFmtId="0" fontId="7" fillId="5" borderId="3" applyAlignment="1" pivotButton="0" quotePrefix="0" xfId="0">
      <alignment horizontal="center" vertical="center" wrapText="1"/>
    </xf>
    <xf numFmtId="0" fontId="7" fillId="7" borderId="2" applyAlignment="1" pivotButton="0" quotePrefix="0" xfId="0">
      <alignment horizontal="center" vertical="center" wrapText="1"/>
    </xf>
    <xf numFmtId="0" fontId="5" fillId="0" borderId="3" applyAlignment="1" pivotButton="0" quotePrefix="0" xfId="0">
      <alignment horizontal="right" vertical="center"/>
    </xf>
    <xf numFmtId="164" fontId="5" fillId="0" borderId="3" applyAlignment="1" pivotButton="0" quotePrefix="0" xfId="0">
      <alignment horizontal="right" vertical="center"/>
    </xf>
    <xf numFmtId="0" fontId="7" fillId="5" borderId="3"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3" borderId="1" applyAlignment="1" pivotButton="0" quotePrefix="0" xfId="0">
      <alignment horizontal="right" vertical="center"/>
    </xf>
    <xf numFmtId="164" fontId="3" fillId="3" borderId="1" applyAlignment="1" pivotButton="0" quotePrefix="0" xfId="0">
      <alignment horizontal="right" vertical="center"/>
    </xf>
    <xf numFmtId="0" fontId="0" fillId="0" borderId="0" pivotButton="0" quotePrefix="0" xfId="0"/>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9"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11" fillId="9" borderId="3" applyAlignment="1" pivotButton="0" quotePrefix="0" xfId="0">
      <alignment horizontal="left" vertical="center" wrapText="1"/>
    </xf>
    <xf numFmtId="0" fontId="5" fillId="9" borderId="3" applyAlignment="1" pivotButton="0" quotePrefix="0" xfId="0">
      <alignment horizontal="left" vertical="center" wrapText="1"/>
    </xf>
    <xf numFmtId="0" fontId="12" fillId="0" borderId="3" applyAlignment="1" pivotButton="0" quotePrefix="0" xfId="0">
      <alignment horizontal="left" vertical="center" wrapText="1"/>
    </xf>
    <xf numFmtId="0" fontId="12" fillId="0" borderId="0" pivotButton="0" quotePrefix="0" xfId="0"/>
    <xf numFmtId="0" fontId="13" fillId="10" borderId="0" applyAlignment="1" pivotButton="0" quotePrefix="0" xfId="0">
      <alignment horizontal="center" vertical="center"/>
    </xf>
    <xf numFmtId="0" fontId="4" fillId="0" borderId="2" applyAlignment="1" pivotButton="0" quotePrefix="0" xfId="0">
      <alignment horizontal="center" vertical="center" wrapText="1"/>
    </xf>
    <xf numFmtId="0" fontId="7" fillId="0" borderId="2"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ColWidth="14.43" defaultRowHeight="15" customHeight="1" outlineLevelCol="0"/>
  <cols>
    <col width="30" customWidth="1" style="19" min="1" max="1"/>
    <col width="50" customWidth="1" style="19" min="2" max="2"/>
    <col width="50" customWidth="1" style="19" min="3" max="3"/>
    <col width="45" customWidth="1" style="19" min="4" max="4"/>
    <col width="8.710000000000001" customWidth="1" style="19" min="5" max="26"/>
  </cols>
  <sheetData>
    <row r="1">
      <c r="A1" s="20" t="inlineStr">
        <is>
          <t>BÁO CÁO KẾT QUẢ DIGITAL SAT BLUEBOOK</t>
        </is>
      </c>
      <c r="B1" s="21" t="inlineStr"/>
    </row>
    <row r="2">
      <c r="A2" s="22" t="inlineStr">
        <is>
          <t>Đề thi</t>
        </is>
      </c>
      <c r="B2" s="23" t="inlineStr">
        <is>
          <t>Digital SAT Practice Test — October 2026 (INT-B)</t>
        </is>
      </c>
    </row>
    <row r="3">
      <c r="A3" s="22" t="inlineStr">
        <is>
          <t>Học sinh</t>
        </is>
      </c>
      <c r="B3" s="23" t="inlineStr">
        <is>
          <t>Học sinh</t>
        </is>
      </c>
    </row>
    <row r="4">
      <c r="A4" s="24" t="inlineStr">
        <is>
          <t>Email học sinh</t>
        </is>
      </c>
      <c r="B4" s="25" t="inlineStr">
        <is>
          <t>Chưa cung cấp</t>
        </is>
      </c>
      <c r="C4" s="26" t="n"/>
      <c r="D4" s="26" t="n"/>
    </row>
    <row r="5">
      <c r="A5" s="27" t="inlineStr">
        <is>
          <t>Mục tiêu điểm</t>
        </is>
      </c>
      <c r="B5" s="28" t="inlineStr">
        <is>
          <t>1400+</t>
        </is>
      </c>
      <c r="C5" s="5" t="n"/>
      <c r="D5" s="5" t="n"/>
    </row>
    <row r="6">
      <c r="A6" s="27" t="inlineStr">
        <is>
          <t>Thời gian nộp</t>
        </is>
      </c>
      <c r="B6" s="28" t="inlineStr">
        <is>
          <t>---</t>
        </is>
      </c>
      <c r="C6" s="5" t="n"/>
      <c r="D6" s="5" t="n"/>
    </row>
    <row r="7">
      <c r="A7" s="27" t="inlineStr">
        <is>
          <t>Giáo viên phụ trách</t>
        </is>
      </c>
      <c r="B7" s="28" t="inlineStr">
        <is>
          <t>Mike Pham Bá Hong Son (Google for Education Innovator) - mikepham358@gmail.com</t>
        </is>
      </c>
      <c r="C7" s="5" t="n"/>
      <c r="D7" s="5" t="n"/>
    </row>
    <row r="8">
      <c r="A8" s="27" t="inlineStr">
        <is>
          <t>Nguồn tài liệu</t>
        </is>
      </c>
      <c r="B8" s="28" t="inlineStr">
        <is>
          <t>Tham khảo từ hocsat.com</t>
        </is>
      </c>
      <c r="C8" s="5" t="n"/>
      <c r="D8" s="5" t="n"/>
    </row>
    <row r="9">
      <c r="A9" s="5" t="n"/>
      <c r="B9" s="5" t="n"/>
      <c r="C9" s="5" t="n"/>
      <c r="D9" s="5" t="n"/>
    </row>
    <row r="10">
      <c r="A10" s="29" t="inlineStr">
        <is>
          <t>BẢNG TỔNG KẾT ĐIỂM SỐ</t>
        </is>
      </c>
      <c r="B10" s="30" t="inlineStr"/>
      <c r="C10" s="5" t="n"/>
      <c r="D10" s="5" t="n"/>
    </row>
    <row r="11">
      <c r="A11" s="27" t="inlineStr">
        <is>
          <t>Tổng số câu</t>
        </is>
      </c>
      <c r="B11" s="31">
        <f>Performance_Summary!D9</f>
        <v/>
      </c>
      <c r="C11" s="5" t="n"/>
      <c r="D11" s="5" t="n"/>
    </row>
    <row r="12">
      <c r="A12" s="22" t="inlineStr">
        <is>
          <t>Số câu đã làm</t>
        </is>
      </c>
      <c r="B12" s="32">
        <f>Performance_Summary!E9</f>
        <v/>
      </c>
    </row>
    <row r="13">
      <c r="A13" s="22" t="inlineStr">
        <is>
          <t>Số câu đúng Lần 1 (100%)</t>
        </is>
      </c>
      <c r="B13" s="32">
        <f>Performance_Summary!F9</f>
        <v/>
      </c>
    </row>
    <row r="14">
      <c r="A14" s="22" t="inlineStr">
        <is>
          <t>Số câu đúng Lần 2 (66.7%)</t>
        </is>
      </c>
      <c r="B14" s="32">
        <f>COUNTIF(RW_Module1!M5:M31, "✅ Đúng ở L2") + COUNTIF(RW_Module2!M5:M31, "✅ Đúng ở L2") + COUNTIF(Math_Module1!M5:M26, "✅ Đúng ở L2") + COUNTIF(Math_Module2!M5:M26, "✅ Đúng ở L2")</f>
        <v/>
      </c>
    </row>
    <row r="15">
      <c r="A15" s="22" t="inlineStr">
        <is>
          <t>Số câu đúng Lần 3 (33.3%)</t>
        </is>
      </c>
      <c r="B15" s="32">
        <f>COUNTIF(RW_Module1!M5:M31, "✅ Đúng ở L3") + COUNTIF(RW_Module2!M5:M31, "✅ Đúng ở L3") + COUNTIF(Math_Module1!M5:M26, "✅ Đúng ở L3") + COUNTIF(Math_Module2!M5:M26, "✅ Đúng ở L3")</f>
        <v/>
      </c>
    </row>
    <row r="16">
      <c r="A16" s="22" t="inlineStr">
        <is>
          <t>Hiệu suất điểm</t>
        </is>
      </c>
      <c r="B16" s="32">
        <f>Performance_Summary!K9</f>
        <v/>
      </c>
    </row>
    <row r="17">
      <c r="A17" s="22" t="inlineStr">
        <is>
          <t>Điểm ước tính</t>
        </is>
      </c>
      <c r="B17" s="32">
        <f>ROUND(400 + Performance_Summary!K9 * 1200, 0) &amp; " / 1600"</f>
        <v/>
      </c>
    </row>
    <row r="18">
      <c r="A18" s="22" t="inlineStr">
        <is>
          <t>Số lỗi ghi sổ</t>
        </is>
      </c>
      <c r="B18" s="32">
        <f>COUNTA(SAT_Error_Log_Tracker!A2:A100)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ColWidth="14.43" defaultRowHeight="15" customHeight="1" outlineLevelCol="0"/>
  <cols>
    <col width="8" customWidth="1" style="19" min="1" max="1"/>
    <col width="30" customWidth="1" style="19" min="2" max="2"/>
    <col width="20" customWidth="1" style="19" min="3" max="3"/>
    <col width="15" customWidth="1" style="19" min="4" max="7"/>
    <col width="18" customWidth="1" style="19" min="8" max="8"/>
    <col width="15" customWidth="1" style="19" min="9" max="9"/>
    <col width="20" customWidth="1" style="19" min="10" max="10"/>
    <col width="22" customWidth="1" style="19" min="11" max="11"/>
    <col width="8.710000000000001" customWidth="1" style="19" min="12" max="26"/>
  </cols>
  <sheetData>
    <row r="1">
      <c r="A1" s="1" t="inlineStr">
        <is>
          <t>BẢNG TỔNG HỢP KẾT QUẢ VÀ THEO DÕI TIẾN ĐỘ (OCTOBER 2026 TEST)</t>
        </is>
      </c>
    </row>
    <row r="2">
      <c r="A2" s="2" t="inlineStr">
        <is>
          <t>Tự động cập nhật số câu đã làm, số lần đúng ngay Lần 1, đếm số cột sai và điểm hiệu suất (%) theo thời gian thực</t>
        </is>
      </c>
    </row>
    <row r="4">
      <c r="A4" s="3" t="inlineStr">
        <is>
          <t>STT</t>
        </is>
      </c>
      <c r="B4" s="3" t="inlineStr">
        <is>
          <t>Tên Module / Phân vùng</t>
        </is>
      </c>
      <c r="C4" s="3" t="inlineStr">
        <is>
          <t>Tên Tab trong Excel</t>
        </is>
      </c>
      <c r="D4" s="3" t="inlineStr">
        <is>
          <t>Tổng số câu</t>
        </is>
      </c>
      <c r="E4" s="3" t="inlineStr">
        <is>
          <t>Đã làm Lần 1</t>
        </is>
      </c>
      <c r="F4" s="3" t="inlineStr">
        <is>
          <t>Đúng ngay L1</t>
        </is>
      </c>
      <c r="G4" s="3" t="inlineStr">
        <is>
          <t>Đúng ở L2/L3</t>
        </is>
      </c>
      <c r="H4" s="3" t="inlineStr">
        <is>
          <t>Tổng số cột Sai</t>
        </is>
      </c>
      <c r="I4" s="3" t="inlineStr">
        <is>
          <t>Chưa đúng</t>
        </is>
      </c>
      <c r="J4" s="3" t="inlineStr">
        <is>
          <t>Tỷ lệ Đúng L1 (%)</t>
        </is>
      </c>
      <c r="K4" s="3" t="inlineStr">
        <is>
          <t>Điểm Hiệu suất TB (%)</t>
        </is>
      </c>
    </row>
    <row r="5">
      <c r="A5" s="7" t="n">
        <v>1</v>
      </c>
      <c r="B5" s="5" t="inlineStr">
        <is>
          <t>Reading &amp; Writing Module 1</t>
        </is>
      </c>
      <c r="C5" s="7" t="inlineStr">
        <is>
          <t>RW_Module1</t>
        </is>
      </c>
      <c r="D5" s="12">
        <f>COUNTA(RW_Module1!A5:A31)</f>
        <v/>
      </c>
      <c r="E5" s="12">
        <f>COUNTIF(RW_Module1!F5:F31, "&lt;&gt;")</f>
        <v/>
      </c>
      <c r="F5" s="12">
        <f>COUNTIF(RW_Module1!G5:G31, "✅ Đúng")</f>
        <v/>
      </c>
      <c r="G5" s="12">
        <f>COUNTIF(RW_Module1!M5:M31, "✅ Đúng ở L2") + COUNTIF(RW_Module1!M5:M31, "✅ Đúng ở L3")</f>
        <v/>
      </c>
      <c r="H5" s="12">
        <f>SUM(RW_Module1!L5:L31)</f>
        <v/>
      </c>
      <c r="I5" s="12">
        <f>D5 - F5 - G5</f>
        <v/>
      </c>
      <c r="J5" s="13">
        <f>IF(E5&gt;0, F5/E5, 0)</f>
        <v/>
      </c>
      <c r="K5" s="13">
        <f>IF(D5&gt;0, AVERAGE(RW_Module1!N5:N31), 0)</f>
        <v/>
      </c>
    </row>
    <row r="6">
      <c r="A6" s="7" t="n">
        <v>2</v>
      </c>
      <c r="B6" s="5" t="inlineStr">
        <is>
          <t>Reading &amp; Writing Module 2</t>
        </is>
      </c>
      <c r="C6" s="7" t="inlineStr">
        <is>
          <t>RW_Module2</t>
        </is>
      </c>
      <c r="D6" s="12">
        <f>COUNTA(RW_Module2!A5:A31)</f>
        <v/>
      </c>
      <c r="E6" s="12">
        <f>COUNTIF(RW_Module2!F5:F31, "&lt;&gt;")</f>
        <v/>
      </c>
      <c r="F6" s="12">
        <f>COUNTIF(RW_Module2!G5:G31, "✅ Đúng")</f>
        <v/>
      </c>
      <c r="G6" s="12">
        <f>COUNTIF(RW_Module2!M5:M31, "✅ Đúng ở L2") + COUNTIF(RW_Module2!M5:M31, "✅ Đúng ở L3")</f>
        <v/>
      </c>
      <c r="H6" s="12">
        <f>SUM(RW_Module2!L5:L31)</f>
        <v/>
      </c>
      <c r="I6" s="12">
        <f>D6 - F6 - G6</f>
        <v/>
      </c>
      <c r="J6" s="13">
        <f>IF(E6&gt;0, F6/E6, 0)</f>
        <v/>
      </c>
      <c r="K6" s="13">
        <f>IF(D6&gt;0, AVERAGE(RW_Module2!N5:N31), 0)</f>
        <v/>
      </c>
    </row>
    <row r="7">
      <c r="A7" s="7" t="n">
        <v>3</v>
      </c>
      <c r="B7" s="5" t="inlineStr">
        <is>
          <t>Math Module 1</t>
        </is>
      </c>
      <c r="C7" s="7" t="inlineStr">
        <is>
          <t>Math_Module1</t>
        </is>
      </c>
      <c r="D7" s="12">
        <f>COUNTA(Math_Module1!A5:A26)</f>
        <v/>
      </c>
      <c r="E7" s="12">
        <f>COUNTIF(Math_Module1!F5:F26, "&lt;&gt;")</f>
        <v/>
      </c>
      <c r="F7" s="12">
        <f>COUNTIF(Math_Module1!G5:G26, "✅ Đúng")</f>
        <v/>
      </c>
      <c r="G7" s="12">
        <f>COUNTIF(Math_Module1!M5:M26, "✅ Đúng ở L2") + COUNTIF(Math_Module1!M5:M26, "✅ Đúng ở L3")</f>
        <v/>
      </c>
      <c r="H7" s="12">
        <f>SUM(Math_Module1!L5:L26)</f>
        <v/>
      </c>
      <c r="I7" s="12">
        <f>D7 - F7 - G7</f>
        <v/>
      </c>
      <c r="J7" s="13">
        <f>IF(E7&gt;0, F7/E7, 0)</f>
        <v/>
      </c>
      <c r="K7" s="13">
        <f>IF(D7&gt;0, AVERAGE(Math_Module1!N5:N26), 0)</f>
        <v/>
      </c>
    </row>
    <row r="8">
      <c r="A8" s="7" t="n">
        <v>4</v>
      </c>
      <c r="B8" s="5" t="inlineStr">
        <is>
          <t>Math Module 2</t>
        </is>
      </c>
      <c r="C8" s="7" t="inlineStr">
        <is>
          <t>Math_Module2</t>
        </is>
      </c>
      <c r="D8" s="12">
        <f>COUNTA(Math_Module2!A5:A26)</f>
        <v/>
      </c>
      <c r="E8" s="12">
        <f>COUNTIF(Math_Module2!F5:F26, "&lt;&gt;")</f>
        <v/>
      </c>
      <c r="F8" s="12">
        <f>COUNTIF(Math_Module2!G5:G26, "✅ Đúng")</f>
        <v/>
      </c>
      <c r="G8" s="12">
        <f>COUNTIF(Math_Module2!M5:M26, "✅ Đúng ở L2") + COUNTIF(Math_Module2!M5:M26, "✅ Đúng ở L3")</f>
        <v/>
      </c>
      <c r="H8" s="12">
        <f>SUM(Math_Module2!L5:L26)</f>
        <v/>
      </c>
      <c r="I8" s="12">
        <f>D8 - F8 - G8</f>
        <v/>
      </c>
      <c r="J8" s="13">
        <f>IF(E8&gt;0, F8/E8, 0)</f>
        <v/>
      </c>
      <c r="K8" s="13">
        <f>IF(D8&gt;0, AVERAGE(Math_Module2!N5:N26), 0)</f>
        <v/>
      </c>
    </row>
    <row r="9">
      <c r="A9" s="15" t="n"/>
      <c r="B9" s="16" t="inlineStr">
        <is>
          <t>TỔNG CỘNG TOÀN BỘ ĐỀ THI</t>
        </is>
      </c>
      <c r="C9" s="15" t="inlineStr">
        <is>
          <t>---</t>
        </is>
      </c>
      <c r="D9" s="17">
        <f>SUM(D5:D8)</f>
        <v/>
      </c>
      <c r="E9" s="17">
        <f>SUM(E5:E8)</f>
        <v/>
      </c>
      <c r="F9" s="17">
        <f>SUM(F5:F8)</f>
        <v/>
      </c>
      <c r="G9" s="17">
        <f>SUM(G5:G8)</f>
        <v/>
      </c>
      <c r="H9" s="17">
        <f>SUM(H5:H8)</f>
        <v/>
      </c>
      <c r="I9" s="17">
        <f>SUM(I5:I8)</f>
        <v/>
      </c>
      <c r="J9" s="18">
        <f>IF(E9&gt;0, F9/E9, 0)</f>
        <v/>
      </c>
      <c r="K9" s="18">
        <f>IF(D9&gt;0, AVERAGE(K5:K8), 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ColWidth="14.43" defaultRowHeight="15" customHeight="1" outlineLevelCol="0"/>
  <cols>
    <col width="8" customWidth="1" style="19" min="1" max="1"/>
    <col width="14" customWidth="1" style="19" min="2" max="2"/>
    <col width="18" customWidth="1" style="19" min="3" max="3"/>
    <col width="28" customWidth="1" style="19" min="4" max="4"/>
    <col width="30" customWidth="1" style="19" min="5" max="5"/>
    <col width="42" customWidth="1" style="19" min="6" max="6"/>
    <col width="35" customWidth="1" style="19" min="7" max="7"/>
    <col width="35" customWidth="1" style="19" min="8" max="8"/>
    <col width="16" customWidth="1" style="19" min="9" max="9"/>
    <col width="18" customWidth="1" style="19" min="10" max="10"/>
    <col width="8.710000000000001" customWidth="1" style="19" min="11" max="26"/>
  </cols>
  <sheetData>
    <row r="1">
      <c r="A1" s="33" t="inlineStr">
        <is>
          <t>STT</t>
        </is>
      </c>
      <c r="B1" s="33" t="inlineStr">
        <is>
          <t>Mã câu</t>
        </is>
      </c>
      <c r="C1" s="33" t="inlineStr">
        <is>
          <t>Module</t>
        </is>
      </c>
      <c r="D1" s="33" t="inlineStr">
        <is>
          <t>Chủ đề / Kỹ năng</t>
        </is>
      </c>
      <c r="E1" s="33" t="inlineStr">
        <is>
          <t>Nhóm bẫy SAT</t>
        </is>
      </c>
      <c r="F1" s="33" t="inlineStr">
        <is>
          <t>Phân tích nguyên nhân &amp; Bài học</t>
        </is>
      </c>
      <c r="G1" s="33" t="inlineStr">
        <is>
          <t>Ghi chú tư duy</t>
        </is>
      </c>
      <c r="H1" s="33" t="inlineStr">
        <is>
          <t>Từ mới / Thuật ngữ</t>
        </is>
      </c>
      <c r="I1" s="33" t="inlineStr">
        <is>
          <t>Tình trạng</t>
        </is>
      </c>
      <c r="J1" s="33" t="inlineStr">
        <is>
          <t>Thời gian</t>
        </is>
      </c>
    </row>
    <row r="2">
      <c r="A2" s="2" t="n"/>
      <c r="E2" s="34" t="n"/>
      <c r="F2" s="34" t="n"/>
      <c r="G2" s="34" t="n"/>
      <c r="H2" s="34" t="n"/>
      <c r="I2" s="34" t="n"/>
    </row>
    <row r="3">
      <c r="E3" s="6" t="n"/>
      <c r="F3" s="6" t="n"/>
      <c r="G3" s="6" t="n"/>
      <c r="H3" s="6" t="n"/>
      <c r="I3" s="6" t="n"/>
    </row>
    <row r="4"/>
    <row r="5"/>
    <row r="6">
      <c r="A6" s="35" t="n"/>
      <c r="D6" s="35" t="n"/>
      <c r="G6" s="35" t="n"/>
    </row>
    <row r="7">
      <c r="A7" s="5" t="n"/>
      <c r="D7" s="5" t="n"/>
      <c r="G7" s="5" t="n"/>
    </row>
    <row r="8">
      <c r="A8" s="5" t="n"/>
      <c r="D8" s="5" t="n"/>
      <c r="G8" s="5" t="n"/>
    </row>
    <row r="9">
      <c r="A9" s="5" t="n"/>
      <c r="D9" s="5" t="n"/>
      <c r="G9" s="5" t="n"/>
    </row>
    <row r="10">
      <c r="D10" s="5" t="n"/>
    </row>
    <row r="11"/>
    <row r="12"/>
    <row r="13">
      <c r="A13" s="1" t="n"/>
    </row>
    <row r="14"/>
    <row r="15">
      <c r="A15" s="26" t="n"/>
      <c r="B15" s="26" t="n"/>
      <c r="C15" s="26" t="n"/>
      <c r="D15" s="26" t="n"/>
      <c r="E15" s="26" t="n"/>
      <c r="F15" s="26" t="n"/>
      <c r="G15" s="26" t="n"/>
      <c r="H15" s="26" t="n"/>
      <c r="I15" s="26" t="n"/>
      <c r="J15" s="26" t="n"/>
    </row>
    <row r="16">
      <c r="A16" s="7" t="n"/>
      <c r="B16" s="7" t="n"/>
      <c r="C16" s="5" t="n"/>
      <c r="D16" s="5" t="n"/>
      <c r="E16" s="5" t="n"/>
      <c r="F16" s="5" t="n"/>
      <c r="G16" s="5" t="n"/>
      <c r="H16" s="7" t="n"/>
      <c r="I16" s="7" t="n"/>
      <c r="J16" s="5" t="n"/>
    </row>
    <row r="17">
      <c r="A17" s="7" t="n"/>
      <c r="B17" s="7" t="n"/>
      <c r="C17" s="5" t="n"/>
      <c r="D17" s="5" t="n"/>
      <c r="E17" s="5" t="n"/>
      <c r="F17" s="5" t="n"/>
      <c r="G17" s="5" t="n"/>
      <c r="H17" s="7" t="n"/>
      <c r="I17" s="7" t="n"/>
      <c r="J17" s="5" t="n"/>
    </row>
    <row r="18">
      <c r="A18" s="7" t="n"/>
      <c r="B18" s="7" t="n"/>
      <c r="C18" s="5" t="n"/>
      <c r="D18" s="5" t="n"/>
      <c r="E18" s="5" t="n"/>
      <c r="F18" s="5" t="n"/>
      <c r="G18" s="5" t="n"/>
      <c r="H18" s="7" t="n"/>
      <c r="I18" s="7" t="n"/>
      <c r="J18" s="5" t="n"/>
    </row>
    <row r="19">
      <c r="A19" s="7" t="n"/>
      <c r="B19" s="7" t="n"/>
      <c r="C19" s="5" t="n"/>
      <c r="D19" s="5" t="n"/>
      <c r="E19" s="5" t="n"/>
      <c r="F19" s="5" t="n"/>
      <c r="G19" s="5" t="n"/>
      <c r="H19" s="7" t="n"/>
      <c r="I19" s="7" t="n"/>
      <c r="J19" s="5" t="n"/>
    </row>
    <row r="20">
      <c r="A20" s="7" t="n"/>
      <c r="B20" s="7" t="n"/>
      <c r="C20" s="5" t="n"/>
      <c r="D20" s="5" t="n"/>
      <c r="E20" s="5" t="n"/>
      <c r="F20" s="5" t="n"/>
      <c r="G20" s="5" t="n"/>
      <c r="H20" s="7" t="n"/>
      <c r="I20" s="7" t="n"/>
      <c r="J20" s="5" t="n"/>
    </row>
    <row r="21" ht="15.75" customHeight="1" s="19">
      <c r="A21" s="7" t="n"/>
      <c r="B21" s="7" t="n"/>
      <c r="C21" s="5" t="n"/>
      <c r="D21" s="5" t="n"/>
      <c r="E21" s="5" t="n"/>
      <c r="F21" s="5" t="n"/>
      <c r="G21" s="5" t="n"/>
      <c r="H21" s="7" t="n"/>
      <c r="I21" s="7" t="n"/>
      <c r="J21" s="5" t="n"/>
    </row>
    <row r="22" ht="15.75" customHeight="1" s="19">
      <c r="A22" s="7" t="n"/>
      <c r="B22" s="7" t="n"/>
      <c r="C22" s="5" t="n"/>
      <c r="D22" s="5" t="n"/>
      <c r="E22" s="5" t="n"/>
      <c r="F22" s="5" t="n"/>
      <c r="G22" s="5" t="n"/>
      <c r="H22" s="7" t="n"/>
      <c r="I22" s="7" t="n"/>
      <c r="J22" s="5" t="n"/>
    </row>
    <row r="23" ht="15.75" customHeight="1" s="19">
      <c r="A23" s="7" t="n"/>
      <c r="B23" s="7" t="n"/>
      <c r="C23" s="5" t="n"/>
      <c r="D23" s="5" t="n"/>
      <c r="E23" s="5" t="n"/>
      <c r="F23" s="5" t="n"/>
      <c r="G23" s="5" t="n"/>
      <c r="H23" s="7" t="n"/>
      <c r="I23" s="7" t="n"/>
      <c r="J23" s="5" t="n"/>
    </row>
    <row r="24" ht="15.75" customHeight="1" s="19">
      <c r="A24" s="7" t="n"/>
      <c r="B24" s="7" t="n"/>
      <c r="C24" s="5" t="n"/>
      <c r="D24" s="5" t="n"/>
      <c r="E24" s="5" t="n"/>
      <c r="F24" s="5" t="n"/>
      <c r="G24" s="5" t="n"/>
      <c r="H24" s="7" t="n"/>
      <c r="I24" s="7" t="n"/>
      <c r="J24" s="5" t="n"/>
    </row>
    <row r="25" ht="15.75" customHeight="1" s="19">
      <c r="A25" s="7" t="n"/>
      <c r="B25" s="7" t="n"/>
      <c r="C25" s="5" t="n"/>
      <c r="D25" s="5" t="n"/>
      <c r="E25" s="5" t="n"/>
      <c r="F25" s="5" t="n"/>
      <c r="G25" s="5" t="n"/>
      <c r="H25" s="7" t="n"/>
      <c r="I25" s="7" t="n"/>
      <c r="J25" s="5" t="n"/>
    </row>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outlineLevelCol="0"/>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(Precision)</t>
        </is>
      </c>
      <c r="C5" s="5" t="inlineStr">
        <is>
          <t>the source of a malfunction in a complex electrical system can be a time-consuming process: a repair technician may need to test each individual component one by one until the specific part causing the problematic behavior is identified.</t>
        </is>
      </c>
      <c r="D5" s="5" t="inlineStr">
        <is>
          <t>Which choice completes the text with the most logical and precise word or phrase?</t>
        </is>
      </c>
      <c r="E5" s="5" t="inlineStr">
        <is>
          <t>A. Adapting
B. Isolating
C. Incorporating
D. Fabricating</t>
        </is>
      </c>
      <c r="F5" s="14" t="n"/>
      <c r="G5" s="7">
        <f>IF(ISBLANK(F5), "⏳ Chờ đáp án", IF(UPPER(TRIM(F5))="B", "✅ Đúng", "❌ Sai"))</f>
        <v/>
      </c>
      <c r="H5" s="14" t="n"/>
      <c r="I5" s="7">
        <f>IF(ISBLANK(H5), "", IF(UPPER(TRIM(H5))="B", "✅ Đúng", "❌ Sai"))</f>
        <v/>
      </c>
      <c r="J5" s="14" t="n"/>
      <c r="K5" s="7">
        <f>IF(ISBLANK(J5), "", IF(UPPER(TRIM(J5))="B",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P5" s="5">
        <f>IF(OR(G5="✅ Đúng", I5="✅ Đúng", K5="✅ Đúng"), "Isolating = identifying/singling out the specific cause of a problem.", "🔒 Trả lời đúng để mở khóa Strategic Tip!")</f>
        <v/>
      </c>
    </row>
    <row r="6">
      <c r="A6" s="7" t="inlineStr">
        <is>
          <t>Q2</t>
        </is>
      </c>
      <c r="B6" s="5" t="inlineStr">
        <is>
          <t>Vocabulary in Context (Biological Processes)</t>
        </is>
      </c>
      <c r="C6" s="5" t="inlineStr">
        <is>
          <t>Single-celled foraminifera inhabiting coastal waters experience significant environmental salinity changes during tidal cycles. How, then, do they _____ internal salt levels? Some organisms maintain high concentrations of phosphates that allow them to affect the concentration of internal electrolytes—including salt—in response to external changes.</t>
        </is>
      </c>
      <c r="D6" s="5" t="inlineStr">
        <is>
          <t>Which choice completes the text with the most logical and precise word or phrase?</t>
        </is>
      </c>
      <c r="E6" s="5" t="inlineStr">
        <is>
          <t>A. counteract
B. elude
C. tolerate
D. regulate</t>
        </is>
      </c>
      <c r="F6" s="14" t="n"/>
      <c r="G6" s="7">
        <f>IF(ISBLANK(F6), "⏳ Chờ đáp án", IF(UPPER(TRIM(F6))="D", "✅ Đúng", "❌ Sai"))</f>
        <v/>
      </c>
      <c r="H6" s="14" t="n"/>
      <c r="I6" s="7">
        <f>IF(ISBLANK(H6), "", IF(UPPER(TRIM(H6))="D", "✅ Đúng", "❌ Sai"))</f>
        <v/>
      </c>
      <c r="J6" s="14" t="n"/>
      <c r="K6" s="7">
        <f>IF(ISBLANK(J6), "", IF(UPPER(TRIM(J6))="D",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P6" s="5">
        <f>IF(OR(G6="✅ Đúng", I6="✅ Đúng", K6="✅ Đúng"), "Regulate = control or maintain at a steady level.", "🔒 Trả lời đúng để mở khóa Strategic Tip!")</f>
        <v/>
      </c>
    </row>
    <row r="7">
      <c r="A7" s="7" t="inlineStr">
        <is>
          <t>Q3</t>
        </is>
      </c>
      <c r="B7" s="5" t="inlineStr">
        <is>
          <t>Vocabulary in Context (Research Approaches)</t>
        </is>
      </c>
      <c r="C7" s="5" t="inlineStr">
        <is>
          <t>Though most studies of the effect of altitude on blood chemistry usually concentrate on people who live above sea level, researchers Suleiman A. Al-Sweedan and Moath Alhaj have instead chosen the _____ path in their recent work of studying the blood of people who live below sea level, in locations such as the California towns of Westmorland and Thermal.</t>
        </is>
      </c>
      <c r="D7" s="5" t="inlineStr">
        <is>
          <t>Which choice completes the text with the most logical and precise word or phrase?</t>
        </is>
      </c>
      <c r="E7" s="5" t="inlineStr">
        <is>
          <t>A. predictable
B. innovative
C. idealistic
D. superficial</t>
        </is>
      </c>
      <c r="F7" s="14" t="n"/>
      <c r="G7" s="7">
        <f>IF(ISBLANK(F7), "⏳ Chờ đáp án", IF(UPPER(TRIM(F7))="B", "✅ Đúng", "❌ Sai"))</f>
        <v/>
      </c>
      <c r="H7" s="14" t="n"/>
      <c r="I7" s="7">
        <f>IF(ISBLANK(H7), "", IF(UPPER(TRIM(H7))="B", "✅ Đúng", "❌ Sai"))</f>
        <v/>
      </c>
      <c r="J7" s="14" t="n"/>
      <c r="K7" s="7">
        <f>IF(ISBLANK(J7), "", IF(UPPER(TRIM(J7))="B",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P7" s="5">
        <f>IF(OR(G7="✅ Đúng", I7="✅ Đúng", K7="✅ Đúng"), "Innovative = introducing new, original, or unusual methods.", "🔒 Trả lời đúng để mở khóa Strategic Tip!")</f>
        <v/>
      </c>
    </row>
    <row r="8">
      <c r="A8" s="7" t="inlineStr">
        <is>
          <t>Q4</t>
        </is>
      </c>
      <c r="B8" s="5" t="inlineStr">
        <is>
          <t>Vocabulary in Context (Sufficiency)</t>
        </is>
      </c>
      <c r="C8" s="5" t="inlineStr">
        <is>
          <t>While basic computer security training that only teaches recognition of obvious scams cannot provide _____ protection against today's sophisticated fake emails, which employ such subtle deception techniques that many organizations now require their staff to complete comprehensive cybersecurity education programs.</t>
        </is>
      </c>
      <c r="D8" s="5" t="inlineStr">
        <is>
          <t>Which choice completes the text with the most logical and precise word or phrase?</t>
        </is>
      </c>
      <c r="E8" s="5" t="inlineStr">
        <is>
          <t>A. uncommon
B. superficial
C. sufficient
D. affordable</t>
        </is>
      </c>
      <c r="F8" s="14" t="n"/>
      <c r="G8" s="7">
        <f>IF(ISBLANK(F8), "⏳ Chờ đáp án", IF(UPPER(TRIM(F8))="C", "✅ Đúng", "❌ Sai"))</f>
        <v/>
      </c>
      <c r="H8" s="14" t="n"/>
      <c r="I8" s="7">
        <f>IF(ISBLANK(H8), "", IF(UPPER(TRIM(H8))="C", "✅ Đúng", "❌ Sai"))</f>
        <v/>
      </c>
      <c r="J8" s="14" t="n"/>
      <c r="K8" s="7">
        <f>IF(ISBLANK(J8), "", IF(UPPER(TRIM(J8))="C",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P8" s="5">
        <f>IF(OR(G8="✅ Đúng", I8="✅ Đúng", K8="✅ Đúng"), "Sufficient = adequate or enough for a specific requirement.", "🔒 Trả lời đúng để mở khóa Strategic Tip!")</f>
        <v/>
      </c>
    </row>
    <row r="9">
      <c r="A9" s="7" t="inlineStr">
        <is>
          <t>Q5</t>
        </is>
      </c>
      <c r="B9" s="5" t="inlineStr">
        <is>
          <t>Text Structure &amp; Overall Purpose</t>
        </is>
      </c>
      <c r="C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D9" s="5" t="inlineStr">
        <is>
          <t>Which choice best describes the overall structure of the text?</t>
        </is>
      </c>
      <c r="E9" s="5" t="inlineStr">
        <is>
          <t>A. It lists the number of cities in one country, then compares that number to another country.
B. It poses a question, then explains why the question has many answers.
C. It offers a recommendation, then provides reasons for that recommendation.
D. It describes two locations, then explains why only one is considered a city.</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P9" s="5">
        <f>IF(OR(G9="✅ Đúng", I9="✅ Đúng", K9="✅ Đúng"), "Mô hình cấu trúc: Question -&gt; Multiple Explanations/Answers.", "🔒 Trả lời đúng để mở khóa Strategic Tip!")</f>
        <v/>
      </c>
    </row>
    <row r="10">
      <c r="A10" s="7" t="inlineStr">
        <is>
          <t>Q6</t>
        </is>
      </c>
      <c r="B10" s="5" t="inlineStr">
        <is>
          <t>Main Purpose (Literary Narrative)</t>
        </is>
      </c>
      <c r="C10" s="5" t="inlineStr">
        <is>
          <t>Adapted from William Faulkner's 1940 novel The Hamlet...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t>
        </is>
      </c>
      <c r="D10" s="5" t="inlineStr">
        <is>
          <t>Which choice best states the main purpose of the text?</t>
        </is>
      </c>
      <c r="E10" s="5" t="inlineStr">
        <is>
          <t>A. To contrast the man's desire to attend the meeting with his awareness of risk.
B. To compare the upcoming meeting to a far more serious experience from earlier.
C. To depict the man's insistence on meeting despite the inconvenience.
D. To portray the man's anxiety about the meeting as reflected by his physical state and demeanor.</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P10" s="5">
        <f>IF(OR(G10="✅ Đúng", I10="✅ Đúng", K10="✅ Đúng"), "Văn xuôi hư cấu: Biểu hiện thể chất phản ánh trạng thái tâm lý nhân vật.", "🔒 Trả lời đúng để mở khóa Strategic Tip!")</f>
        <v/>
      </c>
    </row>
    <row r="11">
      <c r="A11" s="7" t="inlineStr">
        <is>
          <t>Q7</t>
        </is>
      </c>
      <c r="B11" s="5" t="inlineStr">
        <is>
          <t>Main Purpose (Informational Text)</t>
        </is>
      </c>
      <c r="C11" s="5" t="inlineStr">
        <is>
          <t>Modern forestry offers diverse career opportunities that integrate scientific knowledge and environmental work. Arborists assess tree health and perform maintenance... Forestry technicians collect data... Forest ecologists conduct field research... With this blend of scientific understanding and practical application, forestry professionals address a variety of complex environmental challenges.</t>
        </is>
      </c>
      <c r="D11" s="5" t="inlineStr">
        <is>
          <t>Which choice best describes the main purpose of the text?</t>
        </is>
      </c>
      <c r="E11" s="5" t="inlineStr">
        <is>
          <t>A. To explain technological advances in modern forestry.
B. To analyze environmental problems facing forests.
C. To compare career security across forestry positions.
D. To highlight career opportunities in modern forestry and describe how they integrate scientific knowledge and hands-on work.</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P11" s="5">
        <f>IF(OR(G11="✅ Đúng", I11="✅ Đúng", K11="✅ Đúng"), "Main Purpose = Topic (Forestry Careers) + So What? (Integrate science and practical work).", "🔒 Trả lời đúng để mở khóa Strategic Tip!")</f>
        <v/>
      </c>
    </row>
    <row r="12">
      <c r="A12" s="7" t="inlineStr">
        <is>
          <t>Q8</t>
        </is>
      </c>
      <c r="B12" s="5" t="inlineStr">
        <is>
          <t>Detail &amp; Literal Comprehension</t>
        </is>
      </c>
      <c r="C12" s="5" t="inlineStr">
        <is>
          <t>James Fong and his team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D12" s="5" t="inlineStr">
        <is>
          <t>According to the text, how can the color olo be seen?</t>
        </is>
      </c>
      <c r="E12" s="5" t="inlineStr">
        <is>
          <t>A. By activating only the medium cones in the retina
B. By activating the long, medium, and short cones in the retina
C. By activating both the long and short cones in the retina
D. By activating only the long cones in the retina</t>
        </is>
      </c>
      <c r="F12" s="14" t="n"/>
      <c r="G12" s="7">
        <f>IF(ISBLANK(F12), "⏳ Chờ đáp án", IF(UPPER(TRIM(F12))="A", "✅ Đúng", "❌ Sai"))</f>
        <v/>
      </c>
      <c r="H12" s="14" t="n"/>
      <c r="I12" s="7">
        <f>IF(ISBLANK(H12), "", IF(UPPER(TRIM(H12))="A", "✅ Đúng", "❌ Sai"))</f>
        <v/>
      </c>
      <c r="J12" s="14" t="n"/>
      <c r="K12" s="7">
        <f>IF(ISBLANK(J12), "", IF(UPPER(TRIM(J12))="A",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P12" s="5">
        <f>IF(OR(G12="✅ Đúng", I12="✅ Đúng", K12="✅ Đúng"), "Literal Comprehension: Paraphrase đúng nguyên văn bài đọc, không suy diễn.", "🔒 Trả lời đúng để mở khóa Strategic Tip!")</f>
        <v/>
      </c>
    </row>
    <row r="13">
      <c r="A13" s="7" t="inlineStr">
        <is>
          <t>Q9</t>
        </is>
      </c>
      <c r="B13" s="5" t="inlineStr">
        <is>
          <t>Quantitative Evidence (Graph)</t>
        </is>
      </c>
      <c r="C13" s="5" t="inlineStr">
        <is>
          <t xml:space="preserve">A student is collecting data about countries with volcanoes that have been active in the time since 1800 and in the time since 1960. The student records that Ethiopia has _____ </t>
        </is>
      </c>
      <c r="D13" s="5" t="inlineStr">
        <is>
          <t>Which choice most effectively uses data from the graph to complete the statement?</t>
        </is>
      </c>
      <c r="E13" s="5" t="inlineStr">
        <is>
          <t>A. the same number of volcanoes active since 1800 as Tanzania.
B. no volcanoes active since 1800.
C. more volcanoes that have been active since 1960 than Tanzania has.
D. fewer volcanoes that have been active since 1960 than Tanzania has.</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P13" s="5">
        <f>IF(OR(G13="✅ Đúng", I13="✅ Đúng", K13="✅ Đúng"), "Đọc chính xác cột chú giải và số liệu tương ứng của hai quốc gia.", "🔒 Trả lời đúng để mở khóa Strategic Tip!")</f>
        <v/>
      </c>
    </row>
    <row r="14">
      <c r="A14" s="7" t="inlineStr">
        <is>
          <t>Q10</t>
        </is>
      </c>
      <c r="B14" s="5" t="inlineStr">
        <is>
          <t>Command of Evidence (Quotation)</t>
        </is>
      </c>
      <c r="C14" s="5" t="inlineStr">
        <is>
          <t>Editor Jared Shurin's 2023 anthology The Big Book of Cyberpunk... Shurin defines cyberpunk as a subgenre concerning 'the influence of technology on human affairs'; however, some critics assert that cyberpunk is a literary movement that is in large part aesthetic rather than idea driven.</t>
        </is>
      </c>
      <c r="D14" s="5" t="inlineStr">
        <is>
          <t>Which quotation from a literary critic would be the most effective evidence in support of the underlined claim?</t>
        </is>
      </c>
      <c r="E14" s="5" t="inlineStr">
        <is>
          <t>A. 'Not all the stories anthologized in The Big Book of Cyberpunk were first published in journals...'
B. 'The stories in The Big Book of Cyberpunk share a number of common themes...'
C. 'Shurin's characterization of cyberpunk is remarkably generous...'
D. 'A key component of cyberpunk that differentiates it from other subgenres of science fiction is an affection for the totems of 1980s pop culture, such as the mirrored sunglasses that were then popular.'</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P14" s="5">
        <f>IF(OR(G14="✅ Đúng", I14="✅ Đúng", K14="✅ Đúng"), "Bằng chứng hỗ trợ phải trực tiếp chứng minh tính chất 'aesthetic' (thẩm mỹ).", "🔒 Trả lời đúng để mở khóa Strategic Tip!")</f>
        <v/>
      </c>
    </row>
    <row r="15">
      <c r="A15" s="7" t="inlineStr">
        <is>
          <t>Q11</t>
        </is>
      </c>
      <c r="B15" s="5" t="inlineStr">
        <is>
          <t>Command of Evidence (Table Data)</t>
        </is>
      </c>
      <c r="C15" s="5" t="inlineStr">
        <is>
          <t>Employment in Tribal Economies in December 2017 and December 2023... Between end-of-year 2017 and end-of-year 2023, the percentage of tribal employees working in the public sector increased, from 34.0% to 34.6%, while the percentage working in the business sector declined from 66.0% to 65.4%.</t>
        </is>
      </c>
      <c r="D15" s="5" t="inlineStr">
        <is>
          <t>Which statement about the decline in the percentage of tribal employees working in the business sector is best supported by information in the table?</t>
        </is>
      </c>
      <c r="E15" s="5" t="inlineStr">
        <is>
          <t>A. didn't result from an overall contraction of that sector, since the total number of employees in that sector increased by several thousand during this period.
B. It was offset by changes in leisure and hospitality businesses...
C. It was driven primarily by changes in businesses classified as 'other'...
D. It resulted from widespread workforce redistributions...</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P15" s="5">
        <f>IF(OR(G15="✅ Đúng", I15="✅ Đúng", K15="✅ Đúng"), "Tỷ lệ % giảm không có nghĩa là số lượng tuyệt đối giảm nếu tổng quy mô tăng.", "🔒 Trả lời đúng để mở khóa Strategic Tip!")</f>
        <v/>
      </c>
    </row>
    <row r="16">
      <c r="A16" s="7" t="inlineStr">
        <is>
          <t>Q12</t>
        </is>
      </c>
      <c r="B16" s="5" t="inlineStr">
        <is>
          <t>Command of Evidence (Chart Interpretation)</t>
        </is>
      </c>
      <c r="C16" s="5" t="inlineStr">
        <is>
          <t>Tax Penalties Assessed on Private Foundations That Filed Form 4720, by Reason, 2003-2005... Out of the organizations that filed Form 990-PF in the years 2003-2005...</t>
        </is>
      </c>
      <c r="D16" s="5" t="inlineStr">
        <is>
          <t>Which choice most effectively uses data from the graph to complete the assertion?</t>
        </is>
      </c>
      <c r="E16" s="5" t="inlineStr">
        <is>
          <t>A. those that filed Form 4720 because they had excess holdings paid a larger penalty...
B. those that filed Form 4720 because they engaged in self-dealing...
C. those that filed Form 4720 in 2003 because they failed to meet the minimum requirement collectively paid a larger percentage of the total penalty assessed that year than those that filed Form 4720 in 2005 for the same reason.
D. those that filed Form 4720 in 2005 because...</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P16" s="5">
        <f>IF(OR(G16="✅ Đúng", I16="✅ Đúng", K16="✅ Đúng"), "Đọc đúng cột năm (2003 vs 2005) và nhóm lý do bị phạt.", "🔒 Trả lời đúng để mở khóa Strategic Tip!")</f>
        <v/>
      </c>
    </row>
    <row r="17">
      <c r="A17" s="7" t="inlineStr">
        <is>
          <t>Q13</t>
        </is>
      </c>
      <c r="B17" s="5" t="inlineStr">
        <is>
          <t>Command of Evidence (Literary Text)</t>
        </is>
      </c>
      <c r="C17" s="5" t="inlineStr">
        <is>
          <t>Philoctetes is a play by Sophocles... Odysseus suggests that the plan for returning with Philoctetes rests on Neoptolemus not having been part of the group that abandoned him:</t>
        </is>
      </c>
      <c r="D17" s="5" t="inlineStr">
        <is>
          <t>Which quotation from Philoctetes most effectively illustrates the claim?</t>
        </is>
      </c>
      <c r="E17" s="5" t="inlineStr">
        <is>
          <t>A. 'Since the prize of victory is so dear, / Endure it...'
B. 'Go near now silently, and make me know...'
C. 'Now let me show, why thine approach to him / Is safe and trustful as mine cannot be / Thou didst sail forth, not to redeem thine oath, / Nor by constraint, nor with the foremost band.'
D. 'No moment for this talk, / Lest he discern my coming...'</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P17" s="5">
        <f>IF(OR(G17="✅ Đúng", I17="✅ Đúng", K17="✅ Đúng"), "Chọn câu thoại thể hiện rõ luận điểm Neoptolemus không thuộc nhóm cũ.", "🔒 Trả lời đúng để mở khóa Strategic Tip!")</f>
        <v/>
      </c>
    </row>
    <row r="18">
      <c r="A18" s="7" t="inlineStr">
        <is>
          <t>Q14</t>
        </is>
      </c>
      <c r="B18" s="5" t="inlineStr">
        <is>
          <t>Text Completion / Logical Inference</t>
        </is>
      </c>
      <c r="C18" s="5" t="inlineStr">
        <is>
          <t xml:space="preserve">Louis-Ferdinand Céline's 1932 novel Journey to the End of the Night is regularly described as autobiographical. That characterization is apt... Much of the novel is pure invention, and readers who overlook this fact and instead focus excessively on correspondences between the novel and Céline's life can thus _____ </t>
        </is>
      </c>
      <c r="D18" s="5" t="inlineStr">
        <is>
          <t>Which choice most logically completes the text?</t>
        </is>
      </c>
      <c r="E18" s="5" t="inlineStr">
        <is>
          <t>A. fail to appreciate how much creativity Céline shows in the book.
B. overemphasize the extent to which Céline took inspiration from earlier writers.
C. refuse to acknowledge that Céline drew on real-world material...
D. misrepresent Journey to the End of the Night as being more widely read than it actually was.</t>
        </is>
      </c>
      <c r="F18" s="14" t="n"/>
      <c r="G18" s="7">
        <f>IF(ISBLANK(F18), "⏳ Chờ đáp án", IF(UPPER(TRIM(F18))="A", "✅ Đúng", "❌ Sai"))</f>
        <v/>
      </c>
      <c r="H18" s="14" t="n"/>
      <c r="I18" s="7">
        <f>IF(ISBLANK(H18), "", IF(UPPER(TRIM(H18))="A", "✅ Đúng", "❌ Sai"))</f>
        <v/>
      </c>
      <c r="J18" s="14" t="n"/>
      <c r="K18" s="7">
        <f>IF(ISBLANK(J18), "", IF(UPPER(TRIM(J18))="A",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P18" s="5">
        <f>IF(OR(G18="✅ Đúng", I18="✅ Đúng", K18="✅ Đúng"), "Suy luận logic: Xem nhẹ 'pure invention' -&gt; Bỏ qua tính sáng tạo (creativity).", "🔒 Trả lời đúng để mở khóa Strategic Tip!")</f>
        <v/>
      </c>
    </row>
    <row r="19">
      <c r="A19" s="7" t="inlineStr">
        <is>
          <t>Q15</t>
        </is>
      </c>
      <c r="B19" s="5" t="inlineStr">
        <is>
          <t>Text Completion / Inference</t>
        </is>
      </c>
      <c r="C19" s="5" t="inlineStr">
        <is>
          <t xml:space="preserve">Last-mile delivery... is subject to increasing pressure... One advance is the use of self-service lockers. This approach, while convenient, introduces new obstacles (e.g., placement is challenging). It is therefore likely that _____ </t>
        </is>
      </c>
      <c r="D19" s="5" t="inlineStr">
        <is>
          <t>Which choice most logically completes the text?</t>
        </is>
      </c>
      <c r="E19" s="5" t="inlineStr">
        <is>
          <t>A. delivery companies will need to keep experimenting with new ideas for last-mile delivery if they hope to keep pace with consumers' expectations.
B. delivery companies will continue promising next-day delivery...
C. advances in last-mile technologies will slow...
D. innovations in the use of self-service lockers will stall...</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P19" s="5">
        <f>IF(OR(G19="✅ Đúng", I19="✅ Đúng", K19="✅ Đúng"), "Kết luận hợp lý: Giải pháp hiện tại gặp thách thức -&gt; Cần tiếp tục thử nghiệm ý tưởng mới.", "🔒 Trả lời đúng để mở khóa Strategic Tip!")</f>
        <v/>
      </c>
    </row>
    <row r="20">
      <c r="A20" s="7" t="inlineStr">
        <is>
          <t>Q16</t>
        </is>
      </c>
      <c r="B20" s="5" t="inlineStr">
        <is>
          <t>Standard English Conventions (Relative Clauses)</t>
        </is>
      </c>
      <c r="C20" s="5" t="inlineStr">
        <is>
          <t>With an average summer temperature of 82.5 degrees Fahrenheit, Nicosia is one European _____ travelers recommend, especially from June to September.</t>
        </is>
      </c>
      <c r="D20" s="5" t="inlineStr">
        <is>
          <t>Which choice completes the text so that it conforms to the conventions of Standard English?</t>
        </is>
      </c>
      <c r="E20" s="5" t="inlineStr">
        <is>
          <t>A. city, which
B. city in which
C. city that
D. city, that</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P20" s="5">
        <f>IF(OR(G20="✅ Đúng", I20="✅ Đúng", K20="✅ Đúng"), "Dùng 'that' không dấu phẩy cho mệnh đề quan hệ giới hạn.", "🔒 Trả lời đúng để mở khóa Strategic Tip!")</f>
        <v/>
      </c>
    </row>
    <row r="21" ht="15.75" customHeight="1" s="19">
      <c r="A21" s="7" t="inlineStr">
        <is>
          <t>Q17</t>
        </is>
      </c>
      <c r="B21" s="5" t="inlineStr">
        <is>
          <t>Standard English Conventions (Verb Tense &amp; Progress)</t>
        </is>
      </c>
      <c r="C21" s="5" t="inlineStr">
        <is>
          <t>Nanoengineers have developed synthesized mesoporous silica nanoparticles... As nanotechnology evolves, medical technology _____ to evolve as well.</t>
        </is>
      </c>
      <c r="D21" s="5" t="inlineStr">
        <is>
          <t>Which choice completes the text so that it conforms to the conventions of Standard English?</t>
        </is>
      </c>
      <c r="E21" s="5" t="inlineStr">
        <is>
          <t>A. had likely continued
B. would likely have continued
C. had likely been continuing
D. will likely continue</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P21" s="5">
        <f>IF(OR(G21="✅ Đúng", I21="✅ Đúng", K21="✅ Đúng"), "Sự tương thích thì: As [Present], [Future].", "🔒 Trả lời đúng để mở khóa Strategic Tip!")</f>
        <v/>
      </c>
    </row>
    <row r="22" ht="15.75" customHeight="1" s="19">
      <c r="A22" s="7" t="inlineStr">
        <is>
          <t>Q18</t>
        </is>
      </c>
      <c r="B22" s="5" t="inlineStr">
        <is>
          <t>Standard English Conventions (Punctuation / Dashes)</t>
        </is>
      </c>
      <c r="C22" s="5" t="inlineStr">
        <is>
          <t>To more easily balance the weight of her body on her toes... Anna Pavlova redesigned her pointe shoes. The modifications she made—adding a stiffened leather sole and hardened toe _____ began the modernization of ballet's iconic footwear.</t>
        </is>
      </c>
      <c r="D22" s="5" t="inlineStr">
        <is>
          <t>Which choice completes the text so that it conforms to the conventions of Standard English?</t>
        </is>
      </c>
      <c r="E22" s="5" t="inlineStr">
        <is>
          <t>A. box
B. box—
C. box,
D. box:</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P22" s="5">
        <f>IF(OR(G22="✅ Đúng", I22="✅ Đúng", K22="✅ Đúng"), "Dấu gạch ngang đi theo cặp: — [thông tin bổ sung] —.", "🔒 Trả lời đúng để mở khóa Strategic Tip!")</f>
        <v/>
      </c>
    </row>
    <row r="23" ht="15.75" customHeight="1" s="19">
      <c r="A23" s="7" t="inlineStr">
        <is>
          <t>Q19</t>
        </is>
      </c>
      <c r="B23" s="5" t="inlineStr">
        <is>
          <t>Standard English Conventions (Colons)</t>
        </is>
      </c>
      <c r="C23" s="5" t="inlineStr">
        <is>
          <t>The purpose of these ancient games was _____ provide entertainment during leisure time, to reflect cultural beliefs, and to develop strategic thinking skills among players.</t>
        </is>
      </c>
      <c r="D23" s="5" t="inlineStr">
        <is>
          <t>Which choice completes the text so that it conforms to the conventions of Standard English?</t>
        </is>
      </c>
      <c r="E23" s="5" t="inlineStr">
        <is>
          <t>A. threefold. To
B. threefold: to
C. threefold; to
D. threefold to</t>
        </is>
      </c>
      <c r="F23" s="14" t="n"/>
      <c r="G23" s="7">
        <f>IF(ISBLANK(F23), "⏳ Chờ đáp án", IF(UPPER(TRIM(F23))="B", "✅ Đúng", "❌ Sai"))</f>
        <v/>
      </c>
      <c r="H23" s="14" t="n"/>
      <c r="I23" s="7">
        <f>IF(ISBLANK(H23), "", IF(UPPER(TRIM(H23))="B", "✅ Đúng", "❌ Sai"))</f>
        <v/>
      </c>
      <c r="J23" s="14" t="n"/>
      <c r="K23" s="7">
        <f>IF(ISBLANK(J23), "", IF(UPPER(TRIM(J23))="B",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P23" s="5">
        <f>IF(OR(G23="✅ Đúng", I23="✅ Đúng", K23="✅ Đúng"), "Dấu hai chấm (:) báo hiệu danh sách giải thích phía sau.", "🔒 Trả lời đúng để mở khóa Strategic Tip!")</f>
        <v/>
      </c>
    </row>
    <row r="24" ht="15.75" customHeight="1" s="19">
      <c r="A24" s="7" t="inlineStr">
        <is>
          <t>Q20</t>
        </is>
      </c>
      <c r="B24" s="5" t="inlineStr">
        <is>
          <t>Standard English Conventions (Semicolons &amp; Colons)</t>
        </is>
      </c>
      <c r="C24" s="5" t="inlineStr">
        <is>
          <t>Extensive radiocarbon dating of reed samples from Caral confirmed Ruth Shady Solis's hypothesis about the Peruvian site's _____ nearly 5,000 years ago, the ancient city preceded the Olmec civilization to the north by a full millennium...</t>
        </is>
      </c>
      <c r="D24" s="5" t="inlineStr">
        <is>
          <t>Which choice completes the text so that it conforms to the conventions of Standard English?</t>
        </is>
      </c>
      <c r="E24" s="5" t="inlineStr">
        <is>
          <t>A. age, built
B. age: built
C. age and built
D. age built</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P24" s="5">
        <f>IF(OR(G24="✅ Đúng", I24="✅ Đúng", K24="✅ Đúng"), "Dấu hai chấm nối 2 mệnh đề độc lập khi mệnh đề 2 giải thích cho mệnh đề 1.", "🔒 Trả lời đúng để mở khóa Strategic Tip!")</f>
        <v/>
      </c>
    </row>
    <row r="25" ht="15.75" customHeight="1" s="19">
      <c r="A25" s="7" t="inlineStr">
        <is>
          <t>Q21</t>
        </is>
      </c>
      <c r="B25" s="5" t="inlineStr">
        <is>
          <t>Standard English Conventions (Subject-Verb Agreement)</t>
        </is>
      </c>
      <c r="C25" s="5" t="inlineStr">
        <is>
          <t>Commercial applications of this new synthetic dye technology—beginning with the purple dye called mauve, discovered by William Perkin in 1856— _____ responsible for launching what one science historian calls a 'manufacturing revolution based on chemistry.'</t>
        </is>
      </c>
      <c r="D25" s="5" t="inlineStr">
        <is>
          <t>Which choice completes the text so that it conforms to the conventions of Standard English?</t>
        </is>
      </c>
      <c r="E25" s="5" t="inlineStr">
        <is>
          <t>A. has been
B. is
C. were
D. was</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P25" s="5">
        <f>IF(OR(G25="✅ Đúng", I25="✅ Đúng", K25="✅ Đúng"), "Gạch bỏ thông tin xen giữa trong hai dấu gạch ngang để xác định chủ ngữ chính.", "🔒 Trả lời đúng để mở khóa Strategic Tip!")</f>
        <v/>
      </c>
    </row>
    <row r="26" ht="15.75" customHeight="1" s="19">
      <c r="A26" s="7" t="inlineStr">
        <is>
          <t>Q22</t>
        </is>
      </c>
      <c r="B26" s="5" t="inlineStr">
        <is>
          <t>Transitions (Sequence &amp; Step)</t>
        </is>
      </c>
      <c r="C26" s="5" t="inlineStr">
        <is>
          <t>How does a clear evening become foggy? First, the ground releases heat, which radiates upward. This causes the air near the ground to cool. _____ tiny water droplets begin to form as the cooling air reaches its dew point... Finally, as more droplets accumulate, a visible layer of fog develops.</t>
        </is>
      </c>
      <c r="D26" s="5" t="inlineStr">
        <is>
          <t>Which choice completes the text with the most logical transition?</t>
        </is>
      </c>
      <c r="E26" s="5" t="inlineStr">
        <is>
          <t>A. Similarly,
B. Lastly,
C. Instead,
D. Next,</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P26" s="5">
        <f>IF(OR(G26="✅ Đúng", I26="✅ Đúng", K26="✅ Đúng"), "Từ nối chỉ thứ tự các bước trong quy trình: Next.", "🔒 Trả lời đúng để mở khóa Strategic Tip!")</f>
        <v/>
      </c>
    </row>
    <row r="27" ht="15.75" customHeight="1" s="19">
      <c r="A27" s="7" t="inlineStr">
        <is>
          <t>Q23</t>
        </is>
      </c>
      <c r="B27" s="5" t="inlineStr">
        <is>
          <t>Transitions (Elaboration &amp; Specifics)</t>
        </is>
      </c>
      <c r="C27" s="5" t="inlineStr">
        <is>
          <t>Scientists studying forest restoration have discovered that trees depend on complex partnerships with microscopic organisms for survival. The researchers found that special fungi called endophytes live inside tree leaves and serve as a defense mechanism. _____ these endophytes help by fighting off diseases and boosting the tree's immune system.</t>
        </is>
      </c>
      <c r="D27" s="5" t="inlineStr">
        <is>
          <t>Which choice completes the text with the most logical transition?</t>
        </is>
      </c>
      <c r="E27" s="5" t="inlineStr">
        <is>
          <t>A. In conclusion,
B. Nevertheless,
C. Alternatively,
D. Specifically,</t>
        </is>
      </c>
      <c r="F27" s="14" t="n"/>
      <c r="G27" s="7">
        <f>IF(ISBLANK(F27), "⏳ Chờ đáp án", IF(UPPER(TRIM(F27))="D", "✅ Đúng", "❌ Sai"))</f>
        <v/>
      </c>
      <c r="H27" s="14" t="n"/>
      <c r="I27" s="7">
        <f>IF(ISBLANK(H27), "", IF(UPPER(TRIM(H27))="D", "✅ Đúng", "❌ Sai"))</f>
        <v/>
      </c>
      <c r="J27" s="14" t="n"/>
      <c r="K27" s="7">
        <f>IF(ISBLANK(J27), "", IF(UPPER(TRIM(J27))="D",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P27" s="5">
        <f>IF(OR(G27="✅ Đúng", I27="✅ Đúng", K27="✅ Đúng"), "Specifically = đi vào chi tiết minh họa cụ thể.", "🔒 Trả lời đúng để mở khóa Strategic Tip!")</f>
        <v/>
      </c>
    </row>
    <row r="28" ht="15.75" customHeight="1" s="19">
      <c r="A28" s="7" t="inlineStr">
        <is>
          <t>Q24</t>
        </is>
      </c>
      <c r="B28" s="5" t="inlineStr">
        <is>
          <t>Rhetorical Synthesis / Student Notes</t>
        </is>
      </c>
      <c r="C28" s="5" t="inlineStr">
        <is>
          <t>Notes: Pistol shrimp are small marine crustaceans that hunt using a specialized oversized claw. When the claw snaps shut rapidly, it pushes water... bubble pops forcefully... shock waves powerful enough to stun small fish.</t>
        </is>
      </c>
      <c r="D28" s="5" t="inlineStr">
        <is>
          <t>The student wants to introduce pistol shrimp to an audience unfamiliar with these crustaceans. Which choice most effectively uses relevant information from the notes to accomplish this goal?</t>
        </is>
      </c>
      <c r="E28" s="5" t="inlineStr">
        <is>
          <t>A. Some crustaceans use a specialized claw to create high-speed water jets...
B. Pistol shrimp are small marine creatures that use a specialized oversized claw to generate shock waves powerful enough to stun small fish.
C. Pushing water through a narrow groove at extreme speeds...
D. Pistol shrimp are preyed on by small marine crustaceans...</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P28" s="5">
        <f>IF(OR(G28="✅ Đúng", I28="✅ Đúng", K28="✅ Đúng"), "Giới thiệu đối tượng mới = Nêu tên đối tượng + Định nghĩa/Đặc điểm nhận diện chính.", "🔒 Trả lời đúng để mở khóa Strategic Tip!")</f>
        <v/>
      </c>
    </row>
    <row r="29" ht="15.75" customHeight="1" s="19">
      <c r="A29" s="7" t="inlineStr">
        <is>
          <t>Q25</t>
        </is>
      </c>
      <c r="B29" s="5" t="inlineStr">
        <is>
          <t>Rhetorical Synthesis / Student Notes</t>
        </is>
      </c>
      <c r="C29" s="5" t="inlineStr">
        <is>
          <t>Notes: Elizabeth Catlett (1915-2012) was a celebrated African American artist... best known for creating sculptures and prints... New Generation is a 1992 print... Standing Mother and Child is a 1980 sculpture.</t>
        </is>
      </c>
      <c r="D29" s="5" t="inlineStr">
        <is>
          <t>The student wants to provide an example of one of Catlett's sculptures. Which choice most effectively uses relevant information from the notes to accomplish this goal?</t>
        </is>
      </c>
      <c r="E29" s="5" t="inlineStr">
        <is>
          <t>A. The print New Generation was created by celebrated artist Elizabeth Catlett in 1992.
B. The sculpture Standing Mother and Child was created by celebrated artist Elizabeth Catlett in 1980.
C. Artist Elizabeth Catlett is best known for creating sculptures and prints...
D. Elizabeth Catlett, a celebrated artist, was born in 1915.</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P29" s="5">
        <f>IF(OR(G29="✅ Đúng", I29="✅ Đúng", K29="✅ Đúng"), "Đọc kĩ yêu cầu cụ thể của đề bài: 'example of one of Catlett's sculptures'.", "🔒 Trả lời đúng để mở khóa Strategic Tip!")</f>
        <v/>
      </c>
    </row>
    <row r="30" ht="15.75" customHeight="1" s="19">
      <c r="A30" s="7" t="inlineStr">
        <is>
          <t>Q26</t>
        </is>
      </c>
      <c r="B30" s="5" t="inlineStr">
        <is>
          <t>Rhetorical Synthesis / Student Notes</t>
        </is>
      </c>
      <c r="C30" s="5" t="inlineStr">
        <is>
          <t>Notes: Chapantongo is a municipality in Hidalgo, Mexico... Municipalities provide public services... Chapantongo's population was 12,967 in 2020. Its population was 12,271 in 2010.</t>
        </is>
      </c>
      <c r="D30" s="5" t="inlineStr">
        <is>
          <t>The student wants to emphasize the 2020 population of Chapantongo. Which choice most effectively uses relevant information from the notes to accomplish this goal?</t>
        </is>
      </c>
      <c r="E30" s="5" t="inlineStr">
        <is>
          <t>A. As of 2020, Chapantongo was one of 84 municipalities in Hidalgo, Mexico.
B. In 2020, the municipality of Chapantongo had a population of 12,967.
C. Chapantongo, a municipality in Hidalgo, is responsible for providing public services...
D. Home to 12,271 people, the governmental region was responsible...</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P30" s="5">
        <f>IF(OR(G30="✅ Đúng", I30="✅ Đúng", K30="✅ Đúng"), "Đáp án phải chứa thông tin được yêu cầu làm trọng tâm: 2020 population = 12,967.", "🔒 Trả lời đúng để mở khóa Strategic Tip!")</f>
        <v/>
      </c>
    </row>
    <row r="31" ht="15.75" customHeight="1" s="19">
      <c r="A31" s="7" t="inlineStr">
        <is>
          <t>Q27</t>
        </is>
      </c>
      <c r="B31" s="5" t="inlineStr">
        <is>
          <t>Rhetorical Synthesis / Student Notes</t>
        </is>
      </c>
      <c r="C31" s="5" t="inlineStr">
        <is>
          <t>Notes: The Future of Nostalgia is a book by Svetlana Boym... Chapter 8 explores nostalgia and Europe's largest shopping mall... Chapter 17 discusses skeptics...</t>
        </is>
      </c>
      <c r="D31" s="5" t="inlineStr">
        <is>
          <t>The student wants to explain what Svetlana Boym writes about in chapter 8. Which choice most effectively uses relevant information from the notes to accomplish this goal?</t>
        </is>
      </c>
      <c r="E31" s="5" t="inlineStr">
        <is>
          <t>A. Svetlana Boym's The Future of Nostalgia explores nostalgia from various angles.
B. As Svetlana Boym writes in the seventeenth chapter...
C. Literary theorist Svetlana Boym explores nostalgia and Europe's largest shopping mall in chapter 8 of her book.
D. After exploring nostalgia and Europe's largest shopping mall, Boym goes on to discuss...</t>
        </is>
      </c>
      <c r="F31" s="14" t="n"/>
      <c r="G31" s="7">
        <f>IF(ISBLANK(F31), "⏳ Chờ đáp án", IF(UPPER(TRIM(F31))="C", "✅ Đúng", "❌ Sai"))</f>
        <v/>
      </c>
      <c r="H31" s="14" t="n"/>
      <c r="I31" s="7">
        <f>IF(ISBLANK(H31), "", IF(UPPER(TRIM(H31))="C", "✅ Đúng", "❌ Sai"))</f>
        <v/>
      </c>
      <c r="J31" s="14" t="n"/>
      <c r="K31" s="7">
        <f>IF(ISBLANK(J31), "", IF(UPPER(TRIM(J31))="C",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P31" s="5">
        <f>IF(OR(G31="✅ Đúng", I31="✅ Đúng", K31="✅ Đúng"), "Chỉ chọn phương án trả lời đúng mục tiêu 'explain what Boym writes in chapter 8'.",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outlineLevelCol="0"/>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(Interplay)</t>
        </is>
      </c>
      <c r="C5" s="5" t="inlineStr">
        <is>
          <t>Soil conditions, weather patterns, market trends, input costs, labor availability, equipment maintenance, and biological cycles are all variables that farmers must consider separately and in terms of how they may affect each other, and it is this _____ of factors in particular that makes successful farm management so challenging.</t>
        </is>
      </c>
      <c r="D5" s="5" t="inlineStr">
        <is>
          <t>Which choice completes the text with the most logical and precise word or phrase?</t>
        </is>
      </c>
      <c r="E5" s="5" t="inlineStr">
        <is>
          <t>A. neglect
B. misinterpretation
C. resolution
D. interplay</t>
        </is>
      </c>
      <c r="F5" s="14" t="n"/>
      <c r="G5" s="7">
        <f>IF(ISBLANK(F5), "⏳ Chờ đáp án", IF(UPPER(TRIM(F5))="D", "✅ Đúng", "❌ Sai"))</f>
        <v/>
      </c>
      <c r="H5" s="14" t="n"/>
      <c r="I5" s="7">
        <f>IF(ISBLANK(H5), "", IF(UPPER(TRIM(H5))="D", "✅ Đúng", "❌ Sai"))</f>
        <v/>
      </c>
      <c r="J5" s="14" t="n"/>
      <c r="K5" s="7">
        <f>IF(ISBLANK(J5), "", IF(UPPER(TRIM(J5))="D",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P5" s="5">
        <f>IF(OR(G5="✅ Đúng", I5="✅ Đúng", K5="✅ Đúng"), "Interplay = the way in which two or more things have an effect on each other.", "🔒 Trả lời đúng để mở khóa Strategic Tip!")</f>
        <v/>
      </c>
    </row>
    <row r="6">
      <c r="A6" s="7" t="inlineStr">
        <is>
          <t>Q2</t>
        </is>
      </c>
      <c r="B6" s="5" t="inlineStr">
        <is>
          <t>Vocabulary in Context (Efficiency &amp; Output)</t>
        </is>
      </c>
      <c r="C6" s="5" t="inlineStr">
        <is>
          <t>To maximize throughput, package distribution centers employ advanced scheduling systems and strategic staging areas... are so efficient that even when delivery trucks arrive with short notice, goods can be processed rapidly.</t>
        </is>
      </c>
      <c r="D6" s="5" t="inlineStr">
        <is>
          <t>Which choice completes the text with the most logical and precise word or phrase?</t>
        </is>
      </c>
      <c r="E6" s="5" t="inlineStr">
        <is>
          <t>A. throughput
B. staffing
C. overhead
D. liability</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P6" s="5">
        <f>IF(OR(G6="✅ Đúng", I6="✅ Đúng", K6="✅ Đúng"), "Throughput = the amount of material or items passing through a system or process.", "🔒 Trả lời đúng để mở khóa Strategic Tip!")</f>
        <v/>
      </c>
    </row>
    <row r="7">
      <c r="A7" s="7" t="inlineStr">
        <is>
          <t>Q3</t>
        </is>
      </c>
      <c r="B7" s="5" t="inlineStr">
        <is>
          <t>Vocabulary in Context (Parameters)</t>
        </is>
      </c>
      <c r="C7" s="5" t="inlineStr">
        <is>
          <t>Researchers have developed algorithms that take into account how various _____ influence production schedules, allowing rapid solution generation for manufacturing planning problems. The algorithms help identify efficient production schedules by processing those quantifiable inputs...</t>
        </is>
      </c>
      <c r="D7" s="5" t="inlineStr">
        <is>
          <t>Which choice completes the text with the most logical and precise word or phrase?</t>
        </is>
      </c>
      <c r="E7" s="5" t="inlineStr">
        <is>
          <t>A. optimizations
B. predictions
C. parameters
D. liabilities</t>
        </is>
      </c>
      <c r="F7" s="14" t="n"/>
      <c r="G7" s="7">
        <f>IF(ISBLANK(F7), "⏳ Chờ đáp án", IF(UPPER(TRIM(F7))="C", "✅ Đúng", "❌ Sai"))</f>
        <v/>
      </c>
      <c r="H7" s="14" t="n"/>
      <c r="I7" s="7">
        <f>IF(ISBLANK(H7), "", IF(UPPER(TRIM(H7))="C", "✅ Đúng", "❌ Sai"))</f>
        <v/>
      </c>
      <c r="J7" s="14" t="n"/>
      <c r="K7" s="7">
        <f>IF(ISBLANK(J7), "", IF(UPPER(TRIM(J7))="C",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P7" s="5">
        <f>IF(OR(G7="✅ Đúng", I7="✅ Đúng", K7="✅ Đúng"), "Parameters = numerical or other measurable factors forming sets that define a system.", "🔒 Trả lời đúng để mở khóa Strategic Tip!")</f>
        <v/>
      </c>
    </row>
    <row r="8">
      <c r="A8" s="7" t="inlineStr">
        <is>
          <t>Q4</t>
        </is>
      </c>
      <c r="B8" s="5" t="inlineStr">
        <is>
          <t>Vocabulary in Context (Cautions &amp; Warnings)</t>
        </is>
      </c>
      <c r="C8" s="5" t="inlineStr">
        <is>
          <t>Marvel Girl's ability to lift modest loads with her mind is illustrative of the lamentably lackluster powers bestowed on many female superheroes... serve as _____ showing the corrupting influence of power.</t>
        </is>
      </c>
      <c r="D8" s="5" t="inlineStr">
        <is>
          <t>Which choice completes the text with the most logical and precise word or phrase?</t>
        </is>
      </c>
      <c r="E8" s="5" t="inlineStr">
        <is>
          <t>A. venerations
B. admonitions
C. obfuscations
D. exonerations</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P8" s="5">
        <f>IF(OR(G8="✅ Đúng", I8="✅ Đúng", K8="✅ Đúng"), "Admonitions = firm warnings or reprimands.", "🔒 Trả lời đúng để mở khóa Strategic Tip!")</f>
        <v/>
      </c>
    </row>
    <row r="9">
      <c r="A9" s="7" t="inlineStr">
        <is>
          <t>Q5</t>
        </is>
      </c>
      <c r="B9" s="5" t="inlineStr">
        <is>
          <t>Sentence Function &amp; Text Structure</t>
        </is>
      </c>
      <c r="C9" s="5" t="inlineStr">
        <is>
          <t>Research on minor solar eruptions in magnetically quiet regions revealed an interesting pattern. Material expelled during these events follows a narrow arc trajectory back to the Sun's surface... Although these are impressive speeds, they are not sufficient to overcome the confining forces of the Sun's gravity... so the material is pulled back down.</t>
        </is>
      </c>
      <c r="D9" s="5" t="inlineStr">
        <is>
          <t>Which choice best describes the function of the underlined sentence in the text as a whole?</t>
        </is>
      </c>
      <c r="E9" s="5" t="inlineStr">
        <is>
          <t>A. It describes a natural phenomenon that is explained later in the text.
B. It presents a research finding that challenges the view mentioned in the first sentence.
C. It acknowledges an exception to the pattern described in the first sentence.
D. It discusses a natural occurrence that leads to the consequences explained later in the text.</t>
        </is>
      </c>
      <c r="F9" s="14" t="n"/>
      <c r="G9" s="7">
        <f>IF(ISBLANK(F9), "⏳ Chờ đáp án", IF(UPPER(TRIM(F9))="D", "✅ Đúng", "❌ Sai"))</f>
        <v/>
      </c>
      <c r="H9" s="14" t="n"/>
      <c r="I9" s="7">
        <f>IF(ISBLANK(H9), "", IF(UPPER(TRIM(H9))="D", "✅ Đúng", "❌ Sai"))</f>
        <v/>
      </c>
      <c r="J9" s="14" t="n"/>
      <c r="K9" s="7">
        <f>IF(ISBLANK(J9), "", IF(UPPER(TRIM(J9))="D",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P9" s="5">
        <f>IF(OR(G9="✅ Đúng", I9="✅ Đúng", K9="✅ Đúng"), "Xác định vai trò tu từ: Trình bày hiện tượng dẫn tới kết quả theo sau.", "🔒 Trả lời đúng để mở khóa Strategic Tip!")</f>
        <v/>
      </c>
    </row>
    <row r="10">
      <c r="A10" s="7" t="inlineStr">
        <is>
          <t>Q6</t>
        </is>
      </c>
      <c r="B10" s="5" t="inlineStr">
        <is>
          <t>Text Structure &amp; Overall Purpose</t>
        </is>
      </c>
      <c r="C10" s="5" t="inlineStr">
        <is>
          <t>Blue holes are large underwater sinkholes: pits filled with dark blue water... The formation of blue holes typically involves several natural processes, including the dissolution of limestone... Currently, the deepest blue hole on record is the Taam Ja' Blue Hole in Chetumal Bay, Mexico...</t>
        </is>
      </c>
      <c r="D10" s="5" t="inlineStr">
        <is>
          <t>Which choice best describes the overall structure of the text?</t>
        </is>
      </c>
      <c r="E10" s="5" t="inlineStr">
        <is>
          <t>A. It describes the appearance of a particular type of sinkhole, compares two sinkholes, and names researchers.
B. It compares a deep sinkhole to a shallower one, details processes, and emphasizes depth.
C. It explains how a particular sinkhole formed, evaluates appearance, and provides info.
D. It defines a kind of sinkhole, describes its typical appearance and formation, and provides information about the deepest known sinkhole.</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P10" s="5">
        <f>IF(OR(G10="✅ Đúng", I10="✅ Đúng", K10="✅ Đúng"), "Mô hình cấu trúc: Define -&gt; Describe Formation -&gt; Provide Specific Landmark Example.", "🔒 Trả lời đúng để mở khóa Strategic Tip!")</f>
        <v/>
      </c>
    </row>
    <row r="11">
      <c r="A11" s="7" t="inlineStr">
        <is>
          <t>Q7</t>
        </is>
      </c>
      <c r="B11" s="5" t="inlineStr">
        <is>
          <t>Cross-Text Comparison (Paired Passages)</t>
        </is>
      </c>
      <c r="C11" s="5" t="inlineStr">
        <is>
          <t>Text 1: The wood I walk in on this mild May day... what grove of tropic palms, what strange ferns... could ever thrill such deep and delicate fibres within me as this home scene?
Text 2: My feelings seem to be those of our ancient earth... my own consciousness seems to stream through each blade of grass... in the rustling palm leaves.</t>
        </is>
      </c>
      <c r="D11" s="5" t="inlineStr">
        <is>
          <t>Which choice best describes a notable difference in how the author of Text 1 and the author of Text 2 refer to palm trees?</t>
        </is>
      </c>
      <c r="E11" s="5" t="inlineStr">
        <is>
          <t>A. While the narrator of Text 1 and the author of Text 2 both refer to metaphorical palm trees, only Text 1 suggests they represent home.
B. While palm trees form part of a series conveying variety in both texts, only Text 2 recognizes how interconnected they are.
C. While both discuss palm trees to suggest the value of nature, only Text 1 alludes to labor.
D. While palm trees serve to evoke natural beauty in both texts, only the author of Text 2 expresses a close sense of identification with palm trees.</t>
        </is>
      </c>
      <c r="F11" s="14" t="n"/>
      <c r="G11" s="7">
        <f>IF(ISBLANK(F11), "⏳ Chờ đáp án", IF(UPPER(TRIM(F11))="A", "✅ Đúng", "❌ Sai"))</f>
        <v/>
      </c>
      <c r="H11" s="14" t="n"/>
      <c r="I11" s="7">
        <f>IF(ISBLANK(H11), "", IF(UPPER(TRIM(H11))="A", "✅ Đúng", "❌ Sai"))</f>
        <v/>
      </c>
      <c r="J11" s="14" t="n"/>
      <c r="K11" s="7">
        <f>IF(ISBLANK(J11), "", IF(UPPER(TRIM(J11))="A",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P11" s="5">
        <f>IF(OR(G11="✅ Đúng", I11="✅ Đúng", K11="✅ Đúng"), "So sánh hai thái độ/góc nhìn của hai tác giả đối với cùng một hình ảnh.", "🔒 Trả lời đúng để mở khóa Strategic Tip!")</f>
        <v/>
      </c>
    </row>
    <row r="12">
      <c r="A12" s="7" t="inlineStr">
        <is>
          <t>Q8</t>
        </is>
      </c>
      <c r="B12" s="5" t="inlineStr">
        <is>
          <t>Main Idea (Vernacular Riddles)</t>
        </is>
      </c>
      <c r="C12" s="5" t="inlineStr">
        <is>
          <t>Primarily encountered by modern readers as inert written texts, the vernacular riddles of early medieval England contain 'implicit vestiges' of an interactive performance context, scholar Jill Frederick argues. Locative phrases scattered throughout... invite a verbalized response... suggesting a form of dramatic impersonation...</t>
        </is>
      </c>
      <c r="D12" s="5" t="inlineStr">
        <is>
          <t>Which choice best states the main idea of the text?</t>
        </is>
      </c>
      <c r="E12" s="5" t="inlineStr">
        <is>
          <t>A. It is reasonable to conclude that vernacular riddles were mainly performed at large public gatherings...
B. Linguistic evidence found within the vernacular riddles of early medieval England suggests that they may have been intended to be performed in communal settings, though this isn't how they are generally experienced by readers today.
C. People of early medieval England likely found riddles more amusing than modern readers...
D. Scholars once assumed that riddles were read silently...</t>
        </is>
      </c>
      <c r="F12" s="14" t="n"/>
      <c r="G12" s="7">
        <f>IF(ISBLANK(F12), "⏳ Chờ đáp án", IF(UPPER(TRIM(F12))="B", "✅ Đúng", "❌ Sai"))</f>
        <v/>
      </c>
      <c r="H12" s="14" t="n"/>
      <c r="I12" s="7">
        <f>IF(ISBLANK(H12), "", IF(UPPER(TRIM(H12))="B", "✅ Đúng", "❌ Sai"))</f>
        <v/>
      </c>
      <c r="J12" s="14" t="n"/>
      <c r="K12" s="7">
        <f>IF(ISBLANK(J12), "", IF(UPPER(TRIM(J12))="B",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P12" s="5">
        <f>IF(OR(G12="✅ Đúng", I12="✅ Đúng", K12="✅ Đúng"), "Main Point = Evidence of performance context vs. Modern passive reading.", "🔒 Trả lời đúng để mở khóa Strategic Tip!")</f>
        <v/>
      </c>
    </row>
    <row r="13">
      <c r="A13" s="7" t="inlineStr">
        <is>
          <t>Q9</t>
        </is>
      </c>
      <c r="B13" s="5" t="inlineStr">
        <is>
          <t>Inference / Textual Evidence</t>
        </is>
      </c>
      <c r="C13" s="5" t="inlineStr">
        <is>
          <t>In the Mexican dialect of Spanish, the consonant s is pronounced with greater tension in the tongue... Margarita Hidalgo argues that Mexican Spanish acquired this pronunciation from Nahuatl... as Spanish colonizers incorporated Nahuatl words...</t>
        </is>
      </c>
      <c r="D13" s="5" t="inlineStr">
        <is>
          <t>Information in the text best supports which statement about the consonant s?</t>
        </is>
      </c>
      <c r="E13" s="5" t="inlineStr">
        <is>
          <t>A. The pronunciation of this consonant is the principal difference between dialects.
B. This consonant appears in a higher percentage of Nahuatl vocabulary.
C. The pronunciation of this consonant in Mexican Spanish may have been affected by its pronunciation in Nahuatl.
D. The pronunciation requires greater tension in the tongue in Nahuatl than in Castilian.</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P13" s="5">
        <f>IF(OR(G13="✅ Đúng", I13="✅ Đúng", K13="✅ Đúng"), "Suy luận trực tiếp từ giả thuyết ảnh hưởng ngôn ngữ Nahuatl.", "🔒 Trả lời đúng để mở khóa Strategic Tip!")</f>
        <v/>
      </c>
    </row>
    <row r="14">
      <c r="A14" s="7" t="inlineStr">
        <is>
          <t>Q10</t>
        </is>
      </c>
      <c r="B14" s="5" t="inlineStr">
        <is>
          <t>Command of Evidence (Cover Crops)</t>
        </is>
      </c>
      <c r="C14" s="5" t="inlineStr">
        <is>
          <t>Cover crops, such as teff, are planted between main growing seasons... Axel Don concluded that cover crops contribute meaningfully to soil carbon sequestration and could help offset agricultural emissions...</t>
        </is>
      </c>
      <c r="D14" s="5" t="inlineStr">
        <is>
          <t>Which finding, if true, would be most consistent with Don and his coauthor's conclusion?</t>
        </is>
      </c>
      <c r="E14" s="5" t="inlineStr">
        <is>
          <t>A. Teff captures considerably more CO2 in fields where it is grown alongside other species...
B. Cover crops generally exhibit reduced carbon sequestration rates in fields exposed to high levels...
C. SOC stocks vary more in fields where cover crops have been grown for decades...
D. SOC stocks tend to be significantly lower in fields without cover crops compared with fields where cover crops have been grown for several years.</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P14" s="5">
        <f>IF(OR(G14="✅ Đúng", I14="✅ Đúng", K14="✅ Đúng"), "Consistent with conclusion = Dữ liệu thực tế chứng minh vai trò tăng SOC của cover crops.", "🔒 Trả lời đúng để mở khóa Strategic Tip!")</f>
        <v/>
      </c>
    </row>
    <row r="15">
      <c r="A15" s="7" t="inlineStr">
        <is>
          <t>Q11</t>
        </is>
      </c>
      <c r="B15" s="5" t="inlineStr">
        <is>
          <t>Text Completion / Logical Inference</t>
        </is>
      </c>
      <c r="C15" s="5" t="inlineStr">
        <is>
          <t xml:space="preserve">While the brain regions most strongly associated with language tasks have some modularity... comprehension also invokes other areas of the brain associated with nonlinguistic functions. For example, understanding a description of physical actions activates sensory-motor areas... Thus, beyond the areas most strongly associated with linguistic functions, _____ </t>
        </is>
      </c>
      <c r="D15" s="5" t="inlineStr">
        <is>
          <t>Which choice most logically completes the text?</t>
        </is>
      </c>
      <c r="E15" s="5" t="inlineStr">
        <is>
          <t>A. the specific combination of brain regions involved in comprehension is likely contingent on the total context in which the speech is embedded.
B. the brain regions associated with sensory-motor functions are often involved...
C. the brain regions most strongly associated with affective processing activate...
D. the areas of the brain that activate when processing speech will typically include...</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P15" s="5">
        <f>IF(OR(G15="✅ Đúng", I15="✅ Đúng", K15="✅ Đúng"), "Kết luận hợp logic: Loại hình nội dung khác nhau -&gt; Kích hoạt các vùng não phi ngôn ngữ khác nhau.", "🔒 Trả lời đúng để mở khóa Strategic Tip!")</f>
        <v/>
      </c>
    </row>
    <row r="16">
      <c r="A16" s="7" t="inlineStr">
        <is>
          <t>Q12</t>
        </is>
      </c>
      <c r="B16" s="5" t="inlineStr">
        <is>
          <t>Text Completion / Logic Comparison</t>
        </is>
      </c>
      <c r="C16" s="5" t="inlineStr">
        <is>
          <t xml:space="preserve">The Clarion-Clipperton Zone (CCZ)... Some species were identified both morphologically and molecularly, whereas species for which molecular sampling was impracticable were identified solely based on physical morphology. Since molecular analysis does not require distinguishing subtle physiological differences, it is _____ </t>
        </is>
      </c>
      <c r="D16" s="5" t="inlineStr">
        <is>
          <t>Which choice most logically completes the text?</t>
        </is>
      </c>
      <c r="E16" s="5" t="inlineStr">
        <is>
          <t>A. more frequently used for identifying species with physical differences...
B. capable of providing greater physiological detail...
C. better suited to distinguishing Psychropotes dyscrita from morphologically similar species...
D. more likely to properly distinguish between morphologically similar but distinct invertebrate species than is the method used to identify Discantenna metallica.</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P16" s="5">
        <f>IF(OR(G16="✅ Đúng", I16="✅ Đúng", K16="✅ Đúng"), "Ưu điểm của phân tích phân tử: Phân biệt chính xác các loài có hình thái bên ngoài tương đồng.", "🔒 Trả lời đúng để mở khóa Strategic Tip!")</f>
        <v/>
      </c>
    </row>
    <row r="17">
      <c r="A17" s="7" t="inlineStr">
        <is>
          <t>Q13</t>
        </is>
      </c>
      <c r="B17" s="5" t="inlineStr">
        <is>
          <t>Text Completion / Complex Inference</t>
        </is>
      </c>
      <c r="C17" s="5" t="inlineStr">
        <is>
          <t xml:space="preserve">Rare species advantage (RSA) describes the situation in which there are few conspecifics... Among tree species in tropical forest sites, RSA is expected, but in temperate forest sites, the aggregation-abundance correlation is strongly negative. Mathematical modeling suggests, however, that ecological niche distinction may mitigate the apparent risk to temperate ecological stability engendered by this pattern because _____ </t>
        </is>
      </c>
      <c r="D17" s="5" t="inlineStr">
        <is>
          <t>Which choice most logically completes the text?</t>
        </is>
      </c>
      <c r="E17" s="5" t="inlineStr">
        <is>
          <t>A. as a tree species in temperate forests becomes more abundant, individuals are more likely...
B. even though rare tree species in forests tend to cluster...
C. although rare tree species in temperate forests encounter relatively high local competition from conspecifics, they can thrive by exploiting resources that are underexploited by other local species.
D. while an increase in abundance in one tree species often leads...</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P17" s="5">
        <f>IF(OR(G17="✅ Đúng", I17="✅ Đúng", K17="✅ Đúng"), "Giải thích cơ chế Niche Distinction giúp duy trì sự ổn định sinh thái.", "🔒 Trả lời đúng để mở khóa Strategic Tip!")</f>
        <v/>
      </c>
    </row>
    <row r="18">
      <c r="A18" s="7" t="inlineStr">
        <is>
          <t>Q14</t>
        </is>
      </c>
      <c r="B18" s="5" t="inlineStr">
        <is>
          <t>Standard English Conventions (Modifiers)</t>
        </is>
      </c>
      <c r="C18" s="5" t="inlineStr">
        <is>
          <t xml:space="preserve">A premortem is an exercise in which teams imagine their project has already failed... Prompting teams to proactively develop mitigation strategies during the planning stage, _____ </t>
        </is>
      </c>
      <c r="D18" s="5" t="inlineStr">
        <is>
          <t>Which choice completes the text so that it conforms to the conventions of Standard English?</t>
        </is>
      </c>
      <c r="E18" s="5" t="inlineStr">
        <is>
          <t>A. effective uncovering of potential problems by the team in this activity is done early,
B. this activity effectively uncovers potential problems early,
C. potential problems are effectively uncovered by this activity early,
D. teams effectively uncover potential problems early with this activity,</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P18" s="5">
        <f>IF(OR(G18="✅ Đúng", I18="✅ Đúng", K18="✅ Đúng"), "Bổ ngữ phân từ đầu câu: [Participle Modifier], [Subject + Verb].", "🔒 Trả lời đúng để mở khóa Strategic Tip!")</f>
        <v/>
      </c>
    </row>
    <row r="19">
      <c r="A19" s="7" t="inlineStr">
        <is>
          <t>Q15</t>
        </is>
      </c>
      <c r="B19" s="5" t="inlineStr">
        <is>
          <t>Standard English Conventions (Parallel Lists)</t>
        </is>
      </c>
      <c r="C19" s="5" t="inlineStr">
        <is>
          <t>As one of aviation's earliest female stunt performers, Gladys Ingle developed a versatile repertoire of acrobatic feats. Her specialized skills included standing on the wing of a flying aircraft and shooting a bow and arrow at a target _____ maintaining perfect balance during aerial maneuvers, such as vertical loops; and even walking across the wing...</t>
        </is>
      </c>
      <c r="D19" s="5" t="inlineStr">
        <is>
          <t>Which choice completes the text so that it conforms to the conventions of Standard English?</t>
        </is>
      </c>
      <c r="E19" s="5" t="inlineStr">
        <is>
          <t>A. target; maintaining
B. target maintaining
C. target. Maintaining
D. target, maintaining</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P19" s="5">
        <f>IF(OR(G19="✅ Đúng", I19="✅ Đúng", K19="✅ Đúng"), "Dùng dấu chấm phẩy (;) phân tách các mục lớn trong danh sách phức tạp.", "🔒 Trả lời đúng để mở khóa Strategic Tip!")</f>
        <v/>
      </c>
    </row>
    <row r="20">
      <c r="A20" s="7" t="inlineStr">
        <is>
          <t>Q16</t>
        </is>
      </c>
      <c r="B20" s="5" t="inlineStr">
        <is>
          <t>Standard English Conventions (Participles)</t>
        </is>
      </c>
      <c r="C20" s="5" t="inlineStr">
        <is>
          <t>During a recent investigation, archaeologists _____ an explanation for the consistent and seemingly deliberate placement of petroglyphs near water analyzed several sites on Caribbean islands.</t>
        </is>
      </c>
      <c r="D20" s="5" t="inlineStr">
        <is>
          <t>Which choice completes the text so that it conforms to the conventions of Standard English?</t>
        </is>
      </c>
      <c r="E20" s="5" t="inlineStr">
        <is>
          <t>A. had
B. sought
C. seeking
D. were seeking</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P20" s="5">
        <f>IF(OR(G20="✅ Đúng", I20="✅ Đúng", K20="✅ Đúng"), "Rút gọn mệnh đề quan hệ chủ động: archaeologists who were seeking -&gt; archaeologists seeking.", "🔒 Trả lời đúng để mở khóa Strategic Tip!")</f>
        <v/>
      </c>
    </row>
    <row r="21" ht="15.75" customHeight="1" s="19">
      <c r="A21" s="7" t="inlineStr">
        <is>
          <t>Q17</t>
        </is>
      </c>
      <c r="B21" s="5" t="inlineStr">
        <is>
          <t>Standard English Conventions (Punctuation Dashes)</t>
        </is>
      </c>
      <c r="C21" s="5" t="inlineStr">
        <is>
          <t>For his mash-up 'Smells Like Rockin' Robin,' DJ Mark Vidler layered Kurt Cobain's minor-key vocals over the Jackson 5's major-key blues progression _____ a technique that, by inserting the grunge singer's vocal melody as pitch-shifted 'blue notes', creates an intensified 'bluesy' sound.</t>
        </is>
      </c>
      <c r="D21" s="5" t="inlineStr">
        <is>
          <t>Which choice completes the text so that it conforms to the conventions of Standard English?</t>
        </is>
      </c>
      <c r="E21" s="5" t="inlineStr">
        <is>
          <t>A. Robin, a technique that
B. Robin. A technique that
C. Robin; a technique that,
D. Robin—a technique that,</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P21" s="5">
        <f>IF(OR(G21="✅ Đúng", I21="✅ Đúng", K21="✅ Đúng"), "Dấu gạch ngang đơn dùng để nhấn mạnh cụm từ bổ nghĩa ở cuối câu.", "🔒 Trả lời đúng để mở khóa Strategic Tip!")</f>
        <v/>
      </c>
    </row>
    <row r="22" ht="15.75" customHeight="1" s="19">
      <c r="A22" s="7" t="inlineStr">
        <is>
          <t>Q18</t>
        </is>
      </c>
      <c r="B22" s="5" t="inlineStr">
        <is>
          <t>Standard English Conventions (Prepositions)</t>
        </is>
      </c>
      <c r="C22" s="5" t="inlineStr">
        <is>
          <t>During the late nineteenth century, agricultural chemist George Washington Carver revolutionized farming practices in the American _____ promoting systematic crop rotation techniques that replenished essential nitrogen in depleted soils.</t>
        </is>
      </c>
      <c r="D22" s="5" t="inlineStr">
        <is>
          <t>Which choice completes the text so that it conforms to the conventions of Standard English?</t>
        </is>
      </c>
      <c r="E22" s="5" t="inlineStr">
        <is>
          <t>A. South, by
B. South by
C. South: by
D. South; by</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P22" s="5">
        <f>IF(OR(G22="✅ Đúng", I22="✅ Đúng", K22="✅ Đúng"), "Không đặt dấu phẩy ngăn cách trực tiếp trước giới từ chỉ phương thức.", "🔒 Trả lời đúng để mở khóa Strategic Tip!")</f>
        <v/>
      </c>
    </row>
    <row r="23" ht="15.75" customHeight="1" s="19">
      <c r="A23" s="7" t="inlineStr">
        <is>
          <t>Q19</t>
        </is>
      </c>
      <c r="B23" s="5" t="inlineStr">
        <is>
          <t>Standard English Conventions (Participles)</t>
        </is>
      </c>
      <c r="C23" s="5" t="inlineStr">
        <is>
          <t>Named for the year in which it was detected by English astronomers, SN 2016aps was a supernova (the explosion of a massive star) _____ in the constellation Draco, 3.6 billion light-years from Earth, the powerful blast propelled particles into space.</t>
        </is>
      </c>
      <c r="D23" s="5" t="inlineStr">
        <is>
          <t>Which choice completes the text so that it conforms to the conventions of Standard English?</t>
        </is>
      </c>
      <c r="E23" s="5" t="inlineStr">
        <is>
          <t>A. star). Occurring
B. star) occurring
C. star) and occurring
D. star), occurring</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P23" s="5">
        <f>IF(OR(G23="✅ Đúng", I23="✅ Đúng", K23="✅ Đúng"), "Tránh lỗi Comma Splice bằng cách kết thúc câu bằng dấu chấm.", "🔒 Trả lời đúng để mở khóa Strategic Tip!")</f>
        <v/>
      </c>
    </row>
    <row r="24" ht="15.75" customHeight="1" s="19">
      <c r="A24" s="7" t="inlineStr">
        <is>
          <t>Q20</t>
        </is>
      </c>
      <c r="B24" s="5" t="inlineStr">
        <is>
          <t>Standard English Conventions (Dangling Modifiers)</t>
        </is>
      </c>
      <c r="C24" s="5" t="inlineStr">
        <is>
          <t xml:space="preserve">Originating during the Cretaceous period, _____ </t>
        </is>
      </c>
      <c r="D24" s="5" t="inlineStr">
        <is>
          <t>Which choice completes the text so that it conforms to the conventions of Standard English?</t>
        </is>
      </c>
      <c r="E24" s="5" t="inlineStr">
        <is>
          <t>A. entomologists have extensively examined fossilized resin deposits...
B. the fossilized amber specimens excavated in northern Myanmar preserve anatomical details of early arthropods.
C. paleontological excavation in northern Myanmar has uncovered...
D. arthropods were trapped and entombed within sticky conifer secretion...</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P24" s="5">
        <f>IF(OR(G24="✅ Đúng", I24="✅ Đúng", K24="✅ Đúng"), "Bổ ngữ chỉ thời đại/nguồn gốc phải đi liền với danh từ hổ phách/hóa thạch.", "🔒 Trả lời đúng để mở khóa Strategic Tip!")</f>
        <v/>
      </c>
    </row>
    <row r="25" ht="15.75" customHeight="1" s="19">
      <c r="A25" s="7" t="inlineStr">
        <is>
          <t>Q21</t>
        </is>
      </c>
      <c r="B25" s="5" t="inlineStr">
        <is>
          <t>Transitions (Contrast)</t>
        </is>
      </c>
      <c r="C25" s="5" t="inlineStr">
        <is>
          <t>In a 1993 study by Vales and Peek, the researchers used microhistological fecal analysis to determine the ratio of three plant subtypes... The researchers did not perform this analysis on all such ungulates, _____ they focused exclusively on elk in Wyoming.</t>
        </is>
      </c>
      <c r="D25" s="5" t="inlineStr">
        <is>
          <t>Which choice completes the text with the most logical transition?</t>
        </is>
      </c>
      <c r="E25" s="5" t="inlineStr">
        <is>
          <t>A. for instance;
B. in other words;
C. regardless;
D. however;</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P25" s="5">
        <f>IF(OR(G25="✅ Đúng", I25="✅ Đúng", K25="✅ Đúng"), "However = dùng để đối lập giữa giả định chung và phạm vi hẹp thực tế.", "🔒 Trả lời đúng để mở khóa Strategic Tip!")</f>
        <v/>
      </c>
    </row>
    <row r="26" ht="15.75" customHeight="1" s="19">
      <c r="A26" s="7" t="inlineStr">
        <is>
          <t>Q22</t>
        </is>
      </c>
      <c r="B26" s="5" t="inlineStr">
        <is>
          <t>Transitions (Illustration / Exemplification)</t>
        </is>
      </c>
      <c r="C26" s="5" t="inlineStr">
        <is>
          <t>The Hornbostel-Sachs system classifies musical instruments by how they produce sound. For example, an instrument that is popular in India called the saraswati veena produces sound primarily through the vibration of its strings. _____ under the Hornbostel-Sachs system, the saraswati veena is a chordophone.</t>
        </is>
      </c>
      <c r="D26" s="5" t="inlineStr">
        <is>
          <t>Which choice completes the text with the most logical transition?</t>
        </is>
      </c>
      <c r="E26" s="5" t="inlineStr">
        <is>
          <t>A. Furthermore,
B. Thus,
C. Similarly,
D. Instead,</t>
        </is>
      </c>
      <c r="F26" s="14" t="n"/>
      <c r="G26" s="7">
        <f>IF(ISBLANK(F26), "⏳ Chờ đáp án", IF(UPPER(TRIM(F26))="B", "✅ Đúng", "❌ Sai"))</f>
        <v/>
      </c>
      <c r="H26" s="14" t="n"/>
      <c r="I26" s="7">
        <f>IF(ISBLANK(H26), "", IF(UPPER(TRIM(H26))="B", "✅ Đúng", "❌ Sai"))</f>
        <v/>
      </c>
      <c r="J26" s="14" t="n"/>
      <c r="K26" s="7">
        <f>IF(ISBLANK(J26), "", IF(UPPER(TRIM(J26))="B",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P26" s="5">
        <f>IF(OR(G26="✅ Đúng", I26="✅ Đúng", K26="✅ Đúng"), "Thus = kết luận logic rút ra từ định nghĩa trước đó.", "🔒 Trả lời đúng để mở khóa Strategic Tip!")</f>
        <v/>
      </c>
    </row>
    <row r="27" ht="15.75" customHeight="1" s="19">
      <c r="A27" s="7" t="inlineStr">
        <is>
          <t>Q23</t>
        </is>
      </c>
      <c r="B27" s="5" t="inlineStr">
        <is>
          <t>Transitions (Comparison / Contrast)</t>
        </is>
      </c>
      <c r="C27" s="5" t="inlineStr">
        <is>
          <t>Generally, sleek vehicles are more aerodynamic than bulkier ones. The streamlined nose of the Airbus A350 XWB jet helps it glide through wind with relative ease, _____ a boxy pickup truck encounters more wind resistance.</t>
        </is>
      </c>
      <c r="D27" s="5" t="inlineStr">
        <is>
          <t>Which choice completes the text with the most logical transition?</t>
        </is>
      </c>
      <c r="E27" s="5" t="inlineStr">
        <is>
          <t>A. additionally,
B. however,
C. for example,
D. meanwhile,</t>
        </is>
      </c>
      <c r="F27" s="14" t="n"/>
      <c r="G27" s="7">
        <f>IF(ISBLANK(F27), "⏳ Chờ đáp án", IF(UPPER(TRIM(F27))="C", "✅ Đúng", "❌ Sai"))</f>
        <v/>
      </c>
      <c r="H27" s="14" t="n"/>
      <c r="I27" s="7">
        <f>IF(ISBLANK(H27), "", IF(UPPER(TRIM(H27))="C", "✅ Đúng", "❌ Sai"))</f>
        <v/>
      </c>
      <c r="J27" s="14" t="n"/>
      <c r="K27" s="7">
        <f>IF(ISBLANK(J27), "", IF(UPPER(TRIM(J27))="C",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P27" s="5">
        <f>IF(OR(G27="✅ Đúng", I27="✅ Đúng", K27="✅ Đúng"), "Meanwhile / whereas = nối hai vế đối lập song song.", "🔒 Trả lời đúng để mở khóa Strategic Tip!")</f>
        <v/>
      </c>
    </row>
    <row r="28" ht="15.75" customHeight="1" s="19">
      <c r="A28" s="7" t="inlineStr">
        <is>
          <t>Q24</t>
        </is>
      </c>
      <c r="B28" s="5" t="inlineStr">
        <is>
          <t>Transitions (Emphasis)</t>
        </is>
      </c>
      <c r="C28" s="5" t="inlineStr">
        <is>
          <t>On June 13, 1927, aviator Charles Lindbergh received a ticker-tape parade in New York City... Of the 206 ticker-tape parades held between 1886 and 2022, a number were for achievements in aviation. _____ Lindbergh's parade was just one of 16 honoring pilots.</t>
        </is>
      </c>
      <c r="D28" s="5" t="inlineStr">
        <is>
          <t>Which choice completes the text with the most logical transition?</t>
        </is>
      </c>
      <c r="E28" s="5" t="inlineStr">
        <is>
          <t>A. Indeed,
B. In addition,
C. Indeed,
D. Nevertheless,</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P28" s="5">
        <f>IF(OR(G28="✅ Đúng", I28="✅ Đúng", K28="✅ Đúng"), "Indeed = dùng để nhấn mạnh/xác nhận thông tin trước.", "🔒 Trả lời đúng để mở khóa Strategic Tip!")</f>
        <v/>
      </c>
    </row>
    <row r="29" ht="15.75" customHeight="1" s="19">
      <c r="A29" s="7" t="inlineStr">
        <is>
          <t>Q25</t>
        </is>
      </c>
      <c r="B29" s="5" t="inlineStr">
        <is>
          <t>Transitions (Contrast &amp; Context)</t>
        </is>
      </c>
      <c r="C29" s="5" t="inlineStr">
        <is>
          <t>Between February 1876 and September 1876, George Eliot's novel Daniel Deronda was serialized in eight parts... Scholars typically regard the serial version as less authoritative than the book version. _____ as scholar Philip Allingham notes, serialized texts were the versions in which nineteenth-century readership first saw itself reflected.</t>
        </is>
      </c>
      <c r="D29" s="5" t="inlineStr">
        <is>
          <t>Which choice completes the text with the most logical transition?</t>
        </is>
      </c>
      <c r="E29" s="5" t="inlineStr">
        <is>
          <t>A. Accordingly, they emphasize...
B. Still, the serial version is important to an understanding of the novel's historical context;
C. Consequently, the book version...
D. However, others regard...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P29" s="5">
        <f>IF(OR(G29="✅ Đúng", I29="✅ Đúng", K29="✅ Đúng"), "Still = tuy nhiên, chuyển hướng sang khía cạnh tích cực khác.", "🔒 Trả lời đúng để mở khóa Strategic Tip!")</f>
        <v/>
      </c>
    </row>
    <row r="30" ht="15.75" customHeight="1" s="19">
      <c r="A30" s="7" t="inlineStr">
        <is>
          <t>Q26</t>
        </is>
      </c>
      <c r="B30" s="5" t="inlineStr">
        <is>
          <t>Rhetorical Synthesis / Student Notes</t>
        </is>
      </c>
      <c r="C30" s="5" t="inlineStr">
        <is>
          <t>Notes: Highpointers Club aims to reach the highest points in 50 US states (50 Completers). In Suk Han completed this on Nov 15, 2013. Timms Hill in Wisconsin (1,951 ft), Gannett Peak in Wyoming (13,809 ft).</t>
        </is>
      </c>
      <c r="D30" s="5" t="inlineStr">
        <is>
          <t>Which choice most effectively uses information from the given sentences to explain the 50 Completers hiking challenge to a new audience?</t>
        </is>
      </c>
      <c r="E30" s="5" t="inlineStr">
        <is>
          <t>A. If you are looking for a new hiking challenge, consider joining...
B. Not until after you have reached the highest points in all fifty US states—including Timms Hill in Wisconsin and Gannett Peak in Wyoming—can you include yourself among the 50 Completers of the Highpointers Club.
C. On November 15, 2013, In Suk Han finally completed...
D. Hikers aiming to count themselves among the 50 Completers...</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P30" s="5">
        <f>IF(OR(G30="✅ Đúng", I30="✅ Đúng", K30="✅ Đúng"), "Giải thích thử thách = Nêu điều kiện hoàn thành + Ví dụ các đỉnh núi.", "🔒 Trả lời đúng để mở khóa Strategic Tip!")</f>
        <v/>
      </c>
    </row>
    <row r="31" ht="15.75" customHeight="1" s="19">
      <c r="A31" s="7" t="inlineStr">
        <is>
          <t>Q27</t>
        </is>
      </c>
      <c r="B31" s="5" t="inlineStr">
        <is>
          <t>Rhetorical Synthesis / Student Notes</t>
        </is>
      </c>
      <c r="C31" s="5" t="inlineStr">
        <is>
          <t>Notes: Enhanced rock weathering (ERW) spreads crushed basalt on farmland to capture CO2 and improve soil health. ERW is low-cost, low-tech compared to expensive energy-intensive methods. CO2 becomes stable bicarbonate in soil water flowing to oceans.</t>
        </is>
      </c>
      <c r="D31" s="5" t="inlineStr">
        <is>
          <t>The student wants to explain why ERW is a superior method for capturing CO2. Which choice most effectively uses relevant information from the notes to accomplish this goal?</t>
        </is>
      </c>
      <c r="E31" s="5" t="inlineStr">
        <is>
          <t>A. ERW improves soil health and helps farmers increase their income...
B. ERW removes CO2 from the air in a way that is both low-cost and low-tech.
C. CO2 captured by ERW becomes stable bicarbonate...
D. ERW is a method of spreading crushed basalt on farmland...</t>
        </is>
      </c>
      <c r="F31" s="14" t="n"/>
      <c r="G31" s="7">
        <f>IF(ISBLANK(F31), "⏳ Chờ đáp án", IF(UPPER(TRIM(F31))="B", "✅ Đúng", "❌ Sai"))</f>
        <v/>
      </c>
      <c r="H31" s="14" t="n"/>
      <c r="I31" s="7">
        <f>IF(ISBLANK(H31), "", IF(UPPER(TRIM(H31))="B", "✅ Đúng", "❌ Sai"))</f>
        <v/>
      </c>
      <c r="J31" s="14" t="n"/>
      <c r="K31" s="7">
        <f>IF(ISBLANK(J31), "", IF(UPPER(TRIM(J31))="B",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P31" s="5">
        <f>IF(OR(G31="✅ Đúng", I31="✅ Đúng", K31="✅ Đúng"), "Chỉ ra điểm vượt trội trực tiếp: 'low-cost and low-tech alternative'.",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outlineLevelCol="0"/>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Linear Functions &amp; Evaluation</t>
        </is>
      </c>
      <c r="C5" s="5" t="inlineStr">
        <is>
          <t>The function h is defined by h(x) = 100x - 50.</t>
        </is>
      </c>
      <c r="D5" s="5" t="inlineStr">
        <is>
          <t>Calculator Allowed. What is the value of h(x) when x = 6?</t>
        </is>
      </c>
      <c r="E5" s="5" t="inlineStr">
        <is>
          <t>A. 56
B. 156
C. 550
D. 650</t>
        </is>
      </c>
      <c r="F5" s="14" t="n"/>
      <c r="G5" s="7">
        <f>IF(ISBLANK(F5), "⏳ Chờ đáp án", IF(UPPER(TRIM(F5))="C", "✅ Đúng", "❌ Sai"))</f>
        <v/>
      </c>
      <c r="H5" s="14" t="n"/>
      <c r="I5" s="7">
        <f>IF(ISBLANK(H5), "", IF(UPPER(TRIM(H5))="C", "✅ Đúng", "❌ Sai"))</f>
        <v/>
      </c>
      <c r="J5" s="14" t="n"/>
      <c r="K5" s="7">
        <f>IF(ISBLANK(J5), "", IF(UPPER(TRIM(J5))="C",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P5" s="5">
        <f>IF(OR(G5="✅ Đúng", I5="✅ Đúng", K5="✅ Đúng"), "Linear Function Evaluation: h(6) = 100(6) - 50 = 550.", "🔒 Trả lời đúng để mở khóa Strategic Tip!")</f>
        <v/>
      </c>
    </row>
    <row r="6">
      <c r="A6" s="7" t="inlineStr">
        <is>
          <t>Q2</t>
        </is>
      </c>
      <c r="B6" s="5" t="inlineStr">
        <is>
          <t>Linear Graph Interpretation (y-intercept)</t>
        </is>
      </c>
      <c r="C6" s="5" t="inlineStr">
        <is>
          <t>The graph shown gives the estimated value, in dollars, of a mountain bike as a function of the number of months since it was purchased. The line intersects the y-axis at (0, 275).</t>
        </is>
      </c>
      <c r="D6" s="5" t="inlineStr">
        <is>
          <t>Calculator Allowed. What is the best interpretation of the y-intercept of the graph in this context?</t>
        </is>
      </c>
      <c r="E6" s="5" t="inlineStr">
        <is>
          <t>A. The estimated value of the bike was 275 dollars when it was purchased.
B. The estimated value of the bike 24 months after purchase was 275 dollars.
C. The estimated value decreased by 275 dollars in 24 months.
D. The estimated value decreased by 2.75% each year.</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P6" s="5">
        <f>IF(OR(G6="✅ Đúng", I6="✅ Đúng", K6="✅ Đúng"), "y-intercept (0, b) represents the initial value at time t = 0.", "🔒 Trả lời đúng để mở khóa Strategic Tip!")</f>
        <v/>
      </c>
    </row>
    <row r="7">
      <c r="A7" s="7" t="inlineStr">
        <is>
          <t>Q3</t>
        </is>
      </c>
      <c r="B7" s="5" t="inlineStr">
        <is>
          <t>Percentages &amp; Basic Calculations</t>
        </is>
      </c>
      <c r="C7" s="5" t="inlineStr">
        <is>
          <t>Out of 200 attempts, 55% were successful.</t>
        </is>
      </c>
      <c r="D7" s="5" t="inlineStr">
        <is>
          <t>Calculator Allowed. How many of these attempts were successful?</t>
        </is>
      </c>
      <c r="E7" s="5" t="inlineStr">
        <is>
          <t>Student-Produced Response (Grid-in). Enter the exact integer.</t>
        </is>
      </c>
      <c r="F7" s="14" t="n"/>
      <c r="G7" s="7">
        <f>IF(ISBLANK(F7), "⏳ Chờ đáp án", IF(UPPER(TRIM(F7))="110", "✅ Đúng", "❌ Sai"))</f>
        <v/>
      </c>
      <c r="H7" s="14" t="n"/>
      <c r="I7" s="7">
        <f>IF(ISBLANK(H7), "", IF(UPPER(TRIM(H7))="110", "✅ Đúng", "❌ Sai"))</f>
        <v/>
      </c>
      <c r="J7" s="14" t="n"/>
      <c r="K7" s="7">
        <f>IF(ISBLANK(J7), "", IF(UPPER(TRIM(J7))="110",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P7" s="5">
        <f>IF(OR(G7="✅ Đúng", I7="✅ Đúng", K7="✅ Đúng"), "Percent of Total: Number = Percentage * Total = 0.55 * 200 = 110.", "🔒 Trả lời đúng để mở khóa Strategic Tip!")</f>
        <v/>
      </c>
    </row>
    <row r="8">
      <c r="A8" s="7" t="inlineStr">
        <is>
          <t>Q4</t>
        </is>
      </c>
      <c r="B8" s="5" t="inlineStr">
        <is>
          <t>Equivalent Algebraic Expressions</t>
        </is>
      </c>
      <c r="C8" s="5" t="inlineStr">
        <is>
          <t>Given the expression: 29x^2 + 29.</t>
        </is>
      </c>
      <c r="D8" s="5" t="inlineStr">
        <is>
          <t>Calculator Allowed. Which expression is equivalent to 29x^2 + 29?</t>
        </is>
      </c>
      <c r="E8" s="5" t="inlineStr">
        <is>
          <t>A. 29(x^2 + 1)
B. 29(x^2 + 29)
C. 29(29x^2 + 1)
D. 29(x^2 + 1/29)</t>
        </is>
      </c>
      <c r="F8" s="14" t="n"/>
      <c r="G8" s="7">
        <f>IF(ISBLANK(F8), "⏳ Chờ đáp án", IF(UPPER(TRIM(F8))="A", "✅ Đúng", "❌ Sai"))</f>
        <v/>
      </c>
      <c r="H8" s="14" t="n"/>
      <c r="I8" s="7">
        <f>IF(ISBLANK(H8), "", IF(UPPER(TRIM(H8))="A", "✅ Đúng", "❌ Sai"))</f>
        <v/>
      </c>
      <c r="J8" s="14" t="n"/>
      <c r="K8" s="7">
        <f>IF(ISBLANK(J8), "", IF(UPPER(TRIM(J8))="A",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P8" s="5">
        <f>IF(OR(G8="✅ Đúng", I8="✅ Đúng", K8="✅ Đúng"), "Factoring Out Common Factor: 29x^2 + 29 = 29(x^2 + 1).", "🔒 Trả lời đúng để mở khóa Strategic Tip!")</f>
        <v/>
      </c>
    </row>
    <row r="9">
      <c r="A9" s="7" t="inlineStr">
        <is>
          <t>Q5</t>
        </is>
      </c>
      <c r="B9" s="5" t="inlineStr">
        <is>
          <t>Solving Linear Equations</t>
        </is>
      </c>
      <c r="C9" s="5" t="inlineStr">
        <is>
          <t>Given the equation: 2(x - 3) = 2(90).</t>
        </is>
      </c>
      <c r="D9" s="5" t="inlineStr">
        <is>
          <t>Calculator Allowed. What is the value of x - 3?</t>
        </is>
      </c>
      <c r="E9" s="5" t="inlineStr">
        <is>
          <t>A. 30
B. 90
C. 180
D. 270</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P9" s="5">
        <f>IF(OR(G9="✅ Đúng", I9="✅ Đúng", K9="✅ Đúng"), "Divide both sides by 2 directly: x - 3 = 90.", "🔒 Trả lời đúng để mở khóa Strategic Tip!")</f>
        <v/>
      </c>
    </row>
    <row r="10">
      <c r="A10" s="7" t="inlineStr">
        <is>
          <t>Q6</t>
        </is>
      </c>
      <c r="B10" s="5" t="inlineStr">
        <is>
          <t>Rates &amp; Unit Conversion</t>
        </is>
      </c>
      <c r="C10" s="5" t="inlineStr">
        <is>
          <t>A commercial water pump drains water from a reservoir at a constant rate of 180 gallons per minute.</t>
        </is>
      </c>
      <c r="D10" s="5" t="inlineStr">
        <is>
          <t>Calculator Allowed. At this rate, how many hours will it take to drain 32,400 gallons of water?</t>
        </is>
      </c>
      <c r="E10" s="5" t="inlineStr">
        <is>
          <t>Student-Produced Response (Grid-in). Enter the exact number.</t>
        </is>
      </c>
      <c r="F10" s="14" t="n"/>
      <c r="G10" s="7">
        <f>IF(ISBLANK(F10), "⏳ Chờ đáp án", IF(UPPER(TRIM(F10))="3", "✅ Đúng", "❌ Sai"))</f>
        <v/>
      </c>
      <c r="H10" s="14" t="n"/>
      <c r="I10" s="7">
        <f>IF(ISBLANK(H10), "", IF(UPPER(TRIM(H10))="3", "✅ Đúng", "❌ Sai"))</f>
        <v/>
      </c>
      <c r="J10" s="14" t="n"/>
      <c r="K10" s="7">
        <f>IF(ISBLANK(J10), "", IF(UPPER(TRIM(J10))="3",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P10" s="5">
        <f>IF(OR(G10="✅ Đúng", I10="✅ Đúng", K10="✅ Đúng"), "Time (hours) = Total Gallons / (Rate per min * 60 min/hr) = 32,400 / (180 * 60) = 3.", "🔒 Trả lời đúng để mở khóa Strategic Tip!")</f>
        <v/>
      </c>
    </row>
    <row r="11">
      <c r="A11" s="7" t="inlineStr">
        <is>
          <t>Q7</t>
        </is>
      </c>
      <c r="B11" s="5" t="inlineStr">
        <is>
          <t>Linear Equations in Two Variables</t>
        </is>
      </c>
      <c r="C11" s="5" t="inlineStr">
        <is>
          <t>The equation 4.57x + 6.08y = 902.07 represents a situation where x is the number of smaller bottles sold and y is the number of larger bottles sold.</t>
        </is>
      </c>
      <c r="D11" s="5" t="inlineStr">
        <is>
          <t>Calculator Allowed. According to the equation, what is the price, in dollars, of each smaller bottle?</t>
        </is>
      </c>
      <c r="E11" s="5" t="inlineStr">
        <is>
          <t>Student-Produced Response (Grid-in). Enter the exact decimal.</t>
        </is>
      </c>
      <c r="F11" s="14" t="n"/>
      <c r="G11" s="7">
        <f>IF(ISBLANK(F11), "⏳ Chờ đáp án", IF(UPPER(TRIM(F11))="4.57", "✅ Đúng", "❌ Sai"))</f>
        <v/>
      </c>
      <c r="H11" s="14" t="n"/>
      <c r="I11" s="7">
        <f>IF(ISBLANK(H11), "", IF(UPPER(TRIM(H11))="4.57", "✅ Đúng", "❌ Sai"))</f>
        <v/>
      </c>
      <c r="J11" s="14" t="n"/>
      <c r="K11" s="7">
        <f>IF(ISBLANK(J11), "", IF(UPPER(TRIM(J11))="4.57",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P11" s="5">
        <f>IF(OR(G11="✅ Đúng", I11="✅ Đúng", K11="✅ Đúng"), "In Total Cost = a*x + b*y, the coefficient 'a' represents the price per unit x.", "🔒 Trả lời đúng để mở khóa Strategic Tip!")</f>
        <v/>
      </c>
    </row>
    <row r="12">
      <c r="A12" s="7" t="inlineStr">
        <is>
          <t>Q8</t>
        </is>
      </c>
      <c r="B12" s="5" t="inlineStr">
        <is>
          <t>Similar Triangles &amp; Proportions</t>
        </is>
      </c>
      <c r="C12" s="5" t="inlineStr">
        <is>
          <t>Triangle ABC is similar to triangle XYZ, where A, B, and C correspond to X, Y, and Z, respectively. In triangle ABC, AB = 180 and BC = 900. In triangle XYZ, YZ = 80.</t>
        </is>
      </c>
      <c r="D12" s="5" t="inlineStr">
        <is>
          <t>Calculator Allowed. What is the length of XY?</t>
        </is>
      </c>
      <c r="E12" s="5" t="inlineStr">
        <is>
          <t>A. 288
B. 196
C. 80
D. 16</t>
        </is>
      </c>
      <c r="F12" s="14" t="n"/>
      <c r="G12" s="7">
        <f>IF(ISBLANK(F12), "⏳ Chờ đáp án", IF(UPPER(TRIM(F12))="D", "✅ Đúng", "❌ Sai"))</f>
        <v/>
      </c>
      <c r="H12" s="14" t="n"/>
      <c r="I12" s="7">
        <f>IF(ISBLANK(H12), "", IF(UPPER(TRIM(H12))="D", "✅ Đúng", "❌ Sai"))</f>
        <v/>
      </c>
      <c r="J12" s="14" t="n"/>
      <c r="K12" s="7">
        <f>IF(ISBLANK(J12), "", IF(UPPER(TRIM(J12))="D",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c>
      <c r="P12" s="5">
        <f>IF(OR(G12="✅ Đúng", I12="✅ Đúng", K12="✅ Đúng"), "Similar Triangles Ratio: AB / XY = BC / YZ =&gt; 180 / XY = 900 / 80 =&gt; XY = 16.", "🔒 Trả lời đúng để mở khóa Strategic Tip!")</f>
        <v/>
      </c>
    </row>
    <row r="13">
      <c r="A13" s="7" t="inlineStr">
        <is>
          <t>Q9</t>
        </is>
      </c>
      <c r="B13" s="5" t="inlineStr">
        <is>
          <t>Absolute Value Equations</t>
        </is>
      </c>
      <c r="C13" s="5" t="inlineStr">
        <is>
          <t>Given the equation: |x - 43| = 0.</t>
        </is>
      </c>
      <c r="D13" s="5" t="inlineStr">
        <is>
          <t>Calculator Allowed. Which value is a solution to the given equation?</t>
        </is>
      </c>
      <c r="E13" s="5" t="inlineStr">
        <is>
          <t>A. 1
B. 0
C. 43
D. -43</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c>
      <c r="P13" s="5">
        <f>IF(OR(G13="✅ Đúng", I13="✅ Đúng", K13="✅ Đúng"), "|A| = 0 implies A = 0 =&gt; x = 43.", "🔒 Trả lời đúng để mở khóa Strategic Tip!")</f>
        <v/>
      </c>
    </row>
    <row r="14">
      <c r="A14" s="7" t="inlineStr">
        <is>
          <t>Q10</t>
        </is>
      </c>
      <c r="B14" s="5" t="inlineStr">
        <is>
          <t>Finding Line Equation from Points</t>
        </is>
      </c>
      <c r="C14" s="5" t="inlineStr">
        <is>
          <t>In the xy-plane, line k passes through the points (0, -8) and (1, -5).</t>
        </is>
      </c>
      <c r="D14" s="5" t="inlineStr">
        <is>
          <t>Calculator Allowed. Which equation defines line k?</t>
        </is>
      </c>
      <c r="E14" s="5" t="inlineStr">
        <is>
          <t>A. y = 3x - 8
B. y = (1/3)x - 8
C. y = -x + 1/3
D. 3y = -x + 3</t>
        </is>
      </c>
      <c r="F14" s="14" t="n"/>
      <c r="G14" s="7">
        <f>IF(ISBLANK(F14), "⏳ Chờ đáp án", IF(UPPER(TRIM(F14))="A", "✅ Đúng", "❌ Sai"))</f>
        <v/>
      </c>
      <c r="H14" s="14" t="n"/>
      <c r="I14" s="7">
        <f>IF(ISBLANK(H14), "", IF(UPPER(TRIM(H14))="A", "✅ Đúng", "❌ Sai"))</f>
        <v/>
      </c>
      <c r="J14" s="14" t="n"/>
      <c r="K14" s="7">
        <f>IF(ISBLANK(J14), "", IF(UPPER(TRIM(J14))="A",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c>
      <c r="P14" s="5">
        <f>IF(OR(G14="✅ Đúng", I14="✅ Đúng", K14="✅ Đúng"), "Slope m = (y2 - y1)/(x2 - x1) = 3, y-intercept = -8 =&gt; y = 3x - 8.", "🔒 Trả lời đúng để mở khóa Strategic Tip!")</f>
        <v/>
      </c>
    </row>
    <row r="15">
      <c r="A15" s="7" t="inlineStr">
        <is>
          <t>Q11</t>
        </is>
      </c>
      <c r="B15" s="5" t="inlineStr">
        <is>
          <t>Scatterplot Best-Fit Line Model</t>
        </is>
      </c>
      <c r="C15" s="5" t="inlineStr">
        <is>
          <t>A scatterplot shows data points with a positive slope passing near (0, 0.2) and (4, 9.2).</t>
        </is>
      </c>
      <c r="D15" s="5" t="inlineStr">
        <is>
          <t>Calculator Allowed. Which equation is the most appropriate linear model for the data?</t>
        </is>
      </c>
      <c r="E15" s="5" t="inlineStr">
        <is>
          <t>A. y = 0.2 + 2.25x
B. y = 0.2 - 2.25x
C. y = 2.25 + 0.2x
D. y = 2.25 - 0.2x</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P15" s="5">
        <f>IF(OR(G15="✅ Đúng", I15="✅ Đúng", K15="✅ Đúng"), "Linear Model: y = b + m*x where b ≈ 0.2 and m ≈ 2.25.", "🔒 Trả lời đúng để mở khóa Strategic Tip!")</f>
        <v/>
      </c>
    </row>
    <row r="16">
      <c r="A16" s="7" t="inlineStr">
        <is>
          <t>Q12</t>
        </is>
      </c>
      <c r="B16" s="5" t="inlineStr">
        <is>
          <t>Rational Function Intercepts</t>
        </is>
      </c>
      <c r="C16" s="5" t="inlineStr">
        <is>
          <t>Given the function y = (21 - x) / (ax + b), where a and b are positive constants.</t>
        </is>
      </c>
      <c r="D16" s="5" t="inlineStr">
        <is>
          <t>Calculator Allowed. What is the x-intercept of the graph in the xy-plane?</t>
        </is>
      </c>
      <c r="E16" s="5" t="inlineStr">
        <is>
          <t>A. (21, 0)
B. (0, -21)
C. (0, 21/b)
D. (-b/a, 0)</t>
        </is>
      </c>
      <c r="F16" s="14" t="n"/>
      <c r="G16" s="7">
        <f>IF(ISBLANK(F16), "⏳ Chờ đáp án", IF(UPPER(TRIM(F16))="A", "✅ Đúng", "❌ Sai"))</f>
        <v/>
      </c>
      <c r="H16" s="14" t="n"/>
      <c r="I16" s="7">
        <f>IF(ISBLANK(H16), "", IF(UPPER(TRIM(H16))="A", "✅ Đúng", "❌ Sai"))</f>
        <v/>
      </c>
      <c r="J16" s="14" t="n"/>
      <c r="K16" s="7">
        <f>IF(ISBLANK(J16), "", IF(UPPER(TRIM(J16))="A",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P16" s="5">
        <f>IF(OR(G16="✅ Đúng", I16="✅ Đúng", K16="✅ Đúng"), "x-intercept occurs when y = 0 =&gt; Numerator 21 - x = 0 =&gt; x = 21.", "🔒 Trả lời đúng để mở khóa Strategic Tip!")</f>
        <v/>
      </c>
    </row>
    <row r="17">
      <c r="A17" s="7" t="inlineStr">
        <is>
          <t>Q13</t>
        </is>
      </c>
      <c r="B17" s="5" t="inlineStr">
        <is>
          <t>Inequalities &amp; Speed/Distance</t>
        </is>
      </c>
      <c r="C17" s="5" t="inlineStr">
        <is>
          <t>A model estimates that a glacier moves between 17 and 24 centimeters per day.</t>
        </is>
      </c>
      <c r="D17" s="5" t="inlineStr">
        <is>
          <t>Calculator Allowed. Which inequality represents possible values of x, where x is the total distance, in centimeters, the glacier moves in 2 days?</t>
        </is>
      </c>
      <c r="E17" s="5" t="inlineStr">
        <is>
          <t>A. 0 &lt;= x &lt;= 2
B. (17)(0.5) &lt;= x &lt;= (24)(0.5)
C. 17 &lt;= x &lt;= 24
D. (17)(2) &lt;= x &lt;= (24)(2)</t>
        </is>
      </c>
      <c r="F17" s="14" t="n"/>
      <c r="G17" s="7">
        <f>IF(ISBLANK(F17), "⏳ Chờ đáp án", IF(UPPER(TRIM(F17))="D", "✅ Đúng", "❌ Sai"))</f>
        <v/>
      </c>
      <c r="H17" s="14" t="n"/>
      <c r="I17" s="7">
        <f>IF(ISBLANK(H17), "", IF(UPPER(TRIM(H17))="D", "✅ Đúng", "❌ Sai"))</f>
        <v/>
      </c>
      <c r="J17" s="14" t="n"/>
      <c r="K17" s="7">
        <f>IF(ISBLANK(J17), "", IF(UPPER(TRIM(J17))="D",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P17" s="5">
        <f>IF(OR(G17="✅ Đúng", I17="✅ Đúng", K17="✅ Đúng"), "Range for 2 days = [Min rate * 2, Max rate * 2] = [(17)(2), (24)(2)].", "🔒 Trả lời đúng để mở khóa Strategic Tip!")</f>
        <v/>
      </c>
    </row>
    <row r="18">
      <c r="A18" s="7" t="inlineStr">
        <is>
          <t>Q14</t>
        </is>
      </c>
      <c r="B18" s="5" t="inlineStr">
        <is>
          <t>Unit Conversion (Ancient Units)</t>
        </is>
      </c>
      <c r="C18" s="5" t="inlineStr">
        <is>
          <t>In an ancient Roman measurement system, a leuga was a unit of length equal to 7,500 pedes.</t>
        </is>
      </c>
      <c r="D18" s="5" t="inlineStr">
        <is>
          <t>Calculator Allowed. In this measurement system, how many pedes were equivalent to 4.6 leugas?</t>
        </is>
      </c>
      <c r="E18" s="5" t="inlineStr">
        <is>
          <t>Student-Produced Response (Grid-in). Enter the exact integer.</t>
        </is>
      </c>
      <c r="F18" s="14" t="n"/>
      <c r="G18" s="7">
        <f>IF(ISBLANK(F18), "⏳ Chờ đáp án", IF(UPPER(TRIM(F18))="34500", "✅ Đúng", "❌ Sai"))</f>
        <v/>
      </c>
      <c r="H18" s="14" t="n"/>
      <c r="I18" s="7">
        <f>IF(ISBLANK(H18), "", IF(UPPER(TRIM(H18))="34500", "✅ Đúng", "❌ Sai"))</f>
        <v/>
      </c>
      <c r="J18" s="14" t="n"/>
      <c r="K18" s="7">
        <f>IF(ISBLANK(J18), "", IF(UPPER(TRIM(J18))="34500",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c>
      <c r="P18" s="5">
        <f>IF(OR(G18="✅ Đúng", I18="✅ Đúng", K18="✅ Đúng"), "Unit Conversion: Pedes = 4.6 * 7,500 = 34,500.", "🔒 Trả lời đúng để mở khóa Strategic Tip!")</f>
        <v/>
      </c>
    </row>
    <row r="19">
      <c r="A19" s="7" t="inlineStr">
        <is>
          <t>Q15</t>
        </is>
      </c>
      <c r="B19" s="5" t="inlineStr">
        <is>
          <t>Geometry (Area &amp; Factoring)</t>
        </is>
      </c>
      <c r="C19" s="5" t="inlineStr">
        <is>
          <t>A rectangle has a width of n yards and a length of (n + 7) yards. The area of the rectangle is 198 square yards.</t>
        </is>
      </c>
      <c r="D19" s="5" t="inlineStr">
        <is>
          <t>Calculator Allowed. What is the value of n?</t>
        </is>
      </c>
      <c r="E19" s="5" t="inlineStr">
        <is>
          <t>Student-Produced Response (Grid-in). Enter the exact integer.</t>
        </is>
      </c>
      <c r="F19" s="14" t="n"/>
      <c r="G19" s="7">
        <f>IF(ISBLANK(F19), "⏳ Chờ đáp án", IF(UPPER(TRIM(F19))="11", "✅ Đúng", "❌ Sai"))</f>
        <v/>
      </c>
      <c r="H19" s="14" t="n"/>
      <c r="I19" s="7">
        <f>IF(ISBLANK(H19), "", IF(UPPER(TRIM(H19))="11", "✅ Đúng", "❌ Sai"))</f>
        <v/>
      </c>
      <c r="J19" s="14" t="n"/>
      <c r="K19" s="7">
        <f>IF(ISBLANK(J19), "", IF(UPPER(TRIM(J19))="11",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P19" s="5">
        <f>IF(OR(G19="✅ Đúng", I19="✅ Đúng", K19="✅ Đúng"), "Area = n(n + 7) = 198 =&gt; n = 11 (since 11 * 18 = 198).", "🔒 Trả lời đúng để mở khóa Strategic Tip!")</f>
        <v/>
      </c>
    </row>
    <row r="20">
      <c r="A20" s="7" t="inlineStr">
        <is>
          <t>Q16</t>
        </is>
      </c>
      <c r="B20" s="5" t="inlineStr">
        <is>
          <t>Rearranging Formulas (Kinetic Energy)</t>
        </is>
      </c>
      <c r="C20" s="5" t="inlineStr">
        <is>
          <t>For an object with a mass of 55 kg, the given equation 55 = 2K / (v^2) relates kinetic energy K to speed v.</t>
        </is>
      </c>
      <c r="D20" s="5" t="inlineStr">
        <is>
          <t>Calculator Allowed. Which equation correctly expresses speed v in terms of K?</t>
        </is>
      </c>
      <c r="E20" s="5" t="inlineStr">
        <is>
          <t>A. v = 2K / 55^2
B. v = 55^2 / 2K
C. v = sqrt(55 / 2K)
D. v = sqrt(2K / 55)</t>
        </is>
      </c>
      <c r="F20" s="14" t="n"/>
      <c r="G20" s="7">
        <f>IF(ISBLANK(F20), "⏳ Chờ đáp án", IF(UPPER(TRIM(F20))="D", "✅ Đúng", "❌ Sai"))</f>
        <v/>
      </c>
      <c r="H20" s="14" t="n"/>
      <c r="I20" s="7">
        <f>IF(ISBLANK(H20), "", IF(UPPER(TRIM(H20))="D", "✅ Đúng", "❌ Sai"))</f>
        <v/>
      </c>
      <c r="J20" s="14" t="n"/>
      <c r="K20" s="7">
        <f>IF(ISBLANK(J20), "", IF(UPPER(TRIM(J20))="D",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P20" s="5">
        <f>IF(OR(G20="✅ Đúng", I20="✅ Đúng", K20="✅ Đúng"), "Isolate v: v^2 = 2K / 55 =&gt; v = sqrt(2K / 55).", "🔒 Trả lời đúng để mở khóa Strategic Tip!")</f>
        <v/>
      </c>
    </row>
    <row r="21" ht="15.75" customHeight="1" s="19">
      <c r="A21" s="7" t="inlineStr">
        <is>
          <t>Q17</t>
        </is>
      </c>
      <c r="B21" s="5" t="inlineStr">
        <is>
          <t>Exponential Growth Model</t>
        </is>
      </c>
      <c r="C21" s="5" t="inlineStr">
        <is>
          <t>A company's solar cell production grew by approximately 22% each year for 5 years following 2013, starting at 7,138 peak kilowatts in 2013.</t>
        </is>
      </c>
      <c r="D21" s="5" t="inlineStr">
        <is>
          <t>Calculator Allowed. Which function best models the solar cell production C(n) n years after 2013?</t>
        </is>
      </c>
      <c r="E21" s="5" t="inlineStr">
        <is>
          <t>A. C(n) = 7,138(0.22)^n
B. C(n) = 7,138(1.22)^n
C. C(n) = 0.22(7,138)^n
D. C(n) = 1.22(7,138)^n</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P21" s="5">
        <f>IF(OR(G21="✅ Đúng", I21="✅ Đúng", K21="✅ Đúng"), "Exponential Growth Model: P(t) = P0 * (1 + r)^t = 7,138 * (1.22)^n.", "🔒 Trả lời đúng để mở khóa Strategic Tip!")</f>
        <v/>
      </c>
    </row>
    <row r="22" ht="15.75" customHeight="1" s="19">
      <c r="A22" s="7" t="inlineStr">
        <is>
          <t>Q18</t>
        </is>
      </c>
      <c r="B22" s="5" t="inlineStr">
        <is>
          <t>Trigonometry (Special Right Triangle 45-45-90)</t>
        </is>
      </c>
      <c r="C22" s="5" t="inlineStr">
        <is>
          <t>In right triangle ABC with angle B = 90 deg and angle C = 45 deg, hypotenuse AC has length x = 19.</t>
        </is>
      </c>
      <c r="D22" s="5" t="inlineStr">
        <is>
          <t>Calculator Allowed. What is the value of sin A?</t>
        </is>
      </c>
      <c r="E22" s="5" t="inlineStr">
        <is>
          <t>A. 1/sqrt(3)
B. 1/sqrt(2)
C. 1
D. sqrt(2)</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c>
      <c r="P22" s="5">
        <f>IF(OR(G22="✅ Đúng", I22="✅ Đúng", K22="✅ Đúng"), "Special Right Triangle 45-45-90: sin(45 deg) = 1/sqrt(2).", "🔒 Trả lời đúng để mở khóa Strategic Tip!")</f>
        <v/>
      </c>
    </row>
    <row r="23" ht="15.75" customHeight="1" s="19">
      <c r="A23" s="7" t="inlineStr">
        <is>
          <t>Q19</t>
        </is>
      </c>
      <c r="B23" s="5" t="inlineStr">
        <is>
          <t>3D Geometry (Right Square Prism Volume)</t>
        </is>
      </c>
      <c r="C23" s="5" t="inlineStr">
        <is>
          <t>A right square prism has a height of 15 units and a volume of 1,815 cubic units.</t>
        </is>
      </c>
      <c r="D23" s="5" t="inlineStr">
        <is>
          <t>Calculator Allowed. What is the length, in units, of an edge of the base?</t>
        </is>
      </c>
      <c r="E23" s="5" t="inlineStr">
        <is>
          <t>A. 11
B. 121
C. 15
D. 121/15</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c>
      <c r="P23" s="5">
        <f>IF(OR(G23="✅ Đúng", I23="✅ Đúng", K23="✅ Đúng"), "Volume of Square Prism = s^2 * h =&gt; s^2 = 1815 / 15 = 121 =&gt; s = 11.", "🔒 Trả lời đúng để mở khóa Strategic Tip!")</f>
        <v/>
      </c>
    </row>
    <row r="24" ht="15.75" customHeight="1" s="19">
      <c r="A24" s="7" t="inlineStr">
        <is>
          <t>Q20</t>
        </is>
      </c>
      <c r="B24" s="5" t="inlineStr">
        <is>
          <t>Systems of Non-linear Equations</t>
        </is>
      </c>
      <c r="C24" s="5" t="inlineStr">
        <is>
          <t>System of equations: y = x - 1 and y = 19(x - 1)^2 - 20.</t>
        </is>
      </c>
      <c r="D24" s="5" t="inlineStr">
        <is>
          <t>Calculator Allowed. What is one possible value of x - 1?</t>
        </is>
      </c>
      <c r="E24" s="5" t="inlineStr">
        <is>
          <t>Student-Produced Response (Grid-in). Enter the exact integer or fraction.</t>
        </is>
      </c>
      <c r="F24" s="14" t="n"/>
      <c r="G24" s="7">
        <f>IF(ISBLANK(F24), "⏳ Chờ đáp án", IF(UPPER(TRIM(F24))="1", "✅ Đúng", "❌ Sai"))</f>
        <v/>
      </c>
      <c r="H24" s="14" t="n"/>
      <c r="I24" s="7">
        <f>IF(ISBLANK(H24), "", IF(UPPER(TRIM(H24))="1", "✅ Đúng", "❌ Sai"))</f>
        <v/>
      </c>
      <c r="J24" s="14" t="n"/>
      <c r="K24" s="7">
        <f>IF(ISBLANK(J24), "", IF(UPPER(TRIM(J24))="1",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P24" s="5">
        <f>IF(OR(G24="✅ Đúng", I24="✅ Đúng", K24="✅ Đúng"), "Substitute u = x - 1 =&gt; 19u^2 - u - 20 = 0 =&gt; u = 1 or u = 20/19.", "🔒 Trả lời đúng để mở khóa Strategic Tip!")</f>
        <v/>
      </c>
    </row>
    <row r="25" ht="15.75" customHeight="1" s="19">
      <c r="A25" s="7" t="inlineStr">
        <is>
          <t>Q21</t>
        </is>
      </c>
      <c r="B25" s="5" t="inlineStr">
        <is>
          <t>Systems of Linear Equations (No Solution)</t>
        </is>
      </c>
      <c r="C25" s="5" t="inlineStr">
        <is>
          <t>System of equations: 18x + 6y = 8y + 9 and ty = 1/5 + 9x.</t>
        </is>
      </c>
      <c r="D25" s="5" t="inlineStr">
        <is>
          <t>Calculator Allowed. In the given system, t is a constant. If the system has no solution, what is the value of t?</t>
        </is>
      </c>
      <c r="E25" s="5" t="inlineStr">
        <is>
          <t>A. 1
B. 2
C. 9
D. 18</t>
        </is>
      </c>
      <c r="F25" s="14" t="n"/>
      <c r="G25" s="7">
        <f>IF(ISBLANK(F25), "⏳ Chờ đáp án", IF(UPPER(TRIM(F25))="B", "✅ Đúng", "❌ Sai"))</f>
        <v/>
      </c>
      <c r="H25" s="14" t="n"/>
      <c r="I25" s="7">
        <f>IF(ISBLANK(H25), "", IF(UPPER(TRIM(H25))="B", "✅ Đúng", "❌ Sai"))</f>
        <v/>
      </c>
      <c r="J25" s="14" t="n"/>
      <c r="K25" s="7">
        <f>IF(ISBLANK(J25), "", IF(UPPER(TRIM(J25))="B",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P25" s="5">
        <f>IF(OR(G25="✅ Đúng", I25="✅ Đúng", K25="✅ Đúng"), "Parallel Lines Condition: m1 = m2 =&gt; t = 1.", "🔒 Trả lời đúng để mở khóa Strategic Tip!")</f>
        <v/>
      </c>
    </row>
    <row r="26" ht="15.75" customHeight="1" s="19">
      <c r="A26" s="7" t="inlineStr">
        <is>
          <t>Q22</t>
        </is>
      </c>
      <c r="B26" s="5" t="inlineStr">
        <is>
          <t>Circle Geometry (Radius from Intercepts)</t>
        </is>
      </c>
      <c r="C26" s="5" t="inlineStr">
        <is>
          <t>A circle in the xy-plane has center (24, 5) and y-intercepts (0, -27) and (0, 37).</t>
        </is>
      </c>
      <c r="D26" s="5" t="inlineStr">
        <is>
          <t>Calculator Allowed. What is the radius of this circle?</t>
        </is>
      </c>
      <c r="E26" s="5" t="inlineStr">
        <is>
          <t>A. 40
B. 37
C. 32
D. 25</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P26" s="5">
        <f>IF(OR(G26="✅ Đúng", I26="✅ Đúng", K26="✅ Đúng"), "Distance Formula: r = sqrt((x_center - 0)^2 + (y_center - y_int)^2) = sqrt(24^2 + 32^2) = 40.",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outlineLevelCol="0"/>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Circle Equations (Radius)</t>
        </is>
      </c>
      <c r="C5" s="5" t="inlineStr">
        <is>
          <t>A circle in the xy-plane has equation (x - 4)^2 + (y + 1)^2 = 49.</t>
        </is>
      </c>
      <c r="D5" s="5" t="inlineStr">
        <is>
          <t>Calculator Allowed. What is the radius of the circle?</t>
        </is>
      </c>
      <c r="E5" s="5" t="inlineStr">
        <is>
          <t>A. 7
B. 14
C. 24.5
D. 49</t>
        </is>
      </c>
      <c r="F5" s="14" t="n"/>
      <c r="G5" s="7">
        <f>IF(ISBLANK(F5), "⏳ Chờ đáp án", IF(UPPER(TRIM(F5))="A", "✅ Đúng", "❌ Sai"))</f>
        <v/>
      </c>
      <c r="H5" s="14" t="n"/>
      <c r="I5" s="7">
        <f>IF(ISBLANK(H5), "", IF(UPPER(TRIM(H5))="A", "✅ Đúng", "❌ Sai"))</f>
        <v/>
      </c>
      <c r="J5" s="14" t="n"/>
      <c r="K5" s="7">
        <f>IF(ISBLANK(J5), "", IF(UPPER(TRIM(J5))="A",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P5" s="5">
        <f>IF(OR(G5="✅ Đúng", I5="✅ Đúng", K5="✅ Đúng"), "Circle Equation: (x - h)^2 + (y - k)^2 = r^2 =&gt; r = sqrt(49) = 7.", "🔒 Trả lời đúng để mở khóa Strategic Tip!")</f>
        <v/>
      </c>
    </row>
    <row r="6">
      <c r="A6" s="7" t="inlineStr">
        <is>
          <t>Q2</t>
        </is>
      </c>
      <c r="B6" s="5" t="inlineStr">
        <is>
          <t>Linear Functions &amp; Table Data</t>
        </is>
      </c>
      <c r="C6" s="5" t="inlineStr">
        <is>
          <t>A table shows area x (sq ft) and water f(x) (gallons): (2400, 4320), (3600, 6480), (4800, 8640).</t>
        </is>
      </c>
      <c r="D6" s="5" t="inlineStr">
        <is>
          <t>Calculator Allowed. Which equation defines f(x)?</t>
        </is>
      </c>
      <c r="E6" s="5" t="inlineStr">
        <is>
          <t>A. f(x) = 1.8x
B. f(x) = 0.6x
C. f(x) = 2,160x
D. f(x) = 4,320x</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P6" s="5">
        <f>IF(OR(G6="✅ Đúng", I6="✅ Đúng", K6="✅ Đúng"), "Direct Variation Ratio: k = y / x = 4320 / 2400 = 1.8.", "🔒 Trả lời đúng để mở khóa Strategic Tip!")</f>
        <v/>
      </c>
    </row>
    <row r="7">
      <c r="A7" s="7" t="inlineStr">
        <is>
          <t>Q3</t>
        </is>
      </c>
      <c r="B7" s="5" t="inlineStr">
        <is>
          <t>Linear Equations (Infinitely Many Solutions)</t>
        </is>
      </c>
      <c r="C7" s="5" t="inlineStr">
        <is>
          <t>Given the equation: 15x + 435 = a(x + 29).</t>
        </is>
      </c>
      <c r="D7" s="5" t="inlineStr">
        <is>
          <t>Calculator Allowed. If the equation has infinitely many solutions, what is the value of a?</t>
        </is>
      </c>
      <c r="E7" s="5" t="inlineStr">
        <is>
          <t>Student-Produced Response (Grid-in). Enter the exact integer.</t>
        </is>
      </c>
      <c r="F7" s="14" t="n"/>
      <c r="G7" s="7">
        <f>IF(ISBLANK(F7), "⏳ Chờ đáp án", IF(UPPER(TRIM(F7))="15", "✅ Đúng", "❌ Sai"))</f>
        <v/>
      </c>
      <c r="H7" s="14" t="n"/>
      <c r="I7" s="7">
        <f>IF(ISBLANK(H7), "", IF(UPPER(TRIM(H7))="15", "✅ Đúng", "❌ Sai"))</f>
        <v/>
      </c>
      <c r="J7" s="14" t="n"/>
      <c r="K7" s="7">
        <f>IF(ISBLANK(J7), "", IF(UPPER(TRIM(J7))="15",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P7" s="5">
        <f>IF(OR(G7="✅ Đúng", I7="✅ Đúng", K7="✅ Đúng"), "Infinitely Many Solutions: Identical coefficients on both sides =&gt; a = 15.", "🔒 Trả lời đúng để mở khóa Strategic Tip!")</f>
        <v/>
      </c>
    </row>
    <row r="8">
      <c r="A8" s="7" t="inlineStr">
        <is>
          <t>Q4</t>
        </is>
      </c>
      <c r="B8" s="5" t="inlineStr">
        <is>
          <t>Linear Modeling (Pricing Structure)</t>
        </is>
      </c>
      <c r="C8" s="5" t="inlineStr">
        <is>
          <t>A plumbing company charges 116 dollars for the first hour and 70 dollars for each additional hour, plus parts cost z dollars (x &gt;= 1).</t>
        </is>
      </c>
      <c r="D8" s="5" t="inlineStr">
        <is>
          <t>Calculator Allowed. Which equation represents total cost y?</t>
        </is>
      </c>
      <c r="E8" s="5" t="inlineStr">
        <is>
          <t>A. y = 70x + z
B. y = 70x + z + 46
C. y = 116x + z
D. y = 116x + 70z + 46</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c>
      <c r="P8" s="5">
        <f>IF(OR(G8="✅ Đúng", I8="✅ Đúng", K8="✅ Đúng"), "Cost Model: y = First Hour + Additional Hours*(x - 1) + Parts = 116 + 70(x - 1) + z = 70x + z + 46.", "🔒 Trả lời đúng để mở khóa Strategic Tip!")</f>
        <v/>
      </c>
    </row>
    <row r="9">
      <c r="A9" s="7" t="inlineStr">
        <is>
          <t>Q5</t>
        </is>
      </c>
      <c r="B9" s="5" t="inlineStr">
        <is>
          <t>Absolute Value Functions</t>
        </is>
      </c>
      <c r="C9" s="5" t="inlineStr">
        <is>
          <t>Function h(x) = |x - 8| - |6 - x| + a. Given h(-4) = 1.</t>
        </is>
      </c>
      <c r="D9" s="5" t="inlineStr">
        <is>
          <t>Calculator Allowed. What is the value of a?</t>
        </is>
      </c>
      <c r="E9" s="5" t="inlineStr">
        <is>
          <t>A. -1
B. 0
C. -1
D. 1</t>
        </is>
      </c>
      <c r="F9" s="14" t="n"/>
      <c r="G9" s="7">
        <f>IF(ISBLANK(F9), "⏳ Chờ đáp án", IF(UPPER(TRIM(F9))="C", "✅ Đúng", "❌ Sai"))</f>
        <v/>
      </c>
      <c r="H9" s="14" t="n"/>
      <c r="I9" s="7">
        <f>IF(ISBLANK(H9), "", IF(UPPER(TRIM(H9))="C", "✅ Đúng", "❌ Sai"))</f>
        <v/>
      </c>
      <c r="J9" s="14" t="n"/>
      <c r="K9" s="7">
        <f>IF(ISBLANK(J9), "", IF(UPPER(TRIM(J9))="C",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P9" s="5">
        <f>IF(OR(G9="✅ Đúng", I9="✅ Đúng", K9="✅ Đúng"), "Evaluate h(-4): 12 - 10 + a = 1 =&gt; 2 + a = 1 =&gt; a = -1.", "🔒 Trả lời đúng để mở khóa Strategic Tip!")</f>
        <v/>
      </c>
    </row>
    <row r="10">
      <c r="A10" s="7" t="inlineStr">
        <is>
          <t>Q6</t>
        </is>
      </c>
      <c r="B10" s="5" t="inlineStr">
        <is>
          <t>Perpendicular Lines Slope</t>
        </is>
      </c>
      <c r="C10" s="5" t="inlineStr">
        <is>
          <t>Line h is defined by 2x + 3y - 30 = 0. Line j is perpendicular to line h in the xy-plane.</t>
        </is>
      </c>
      <c r="D10" s="5" t="inlineStr">
        <is>
          <t>Calculator Allowed. What is the slope of line j?</t>
        </is>
      </c>
      <c r="E10" s="5" t="inlineStr">
        <is>
          <t>A. -2/3
B. 2/3
C. -3/2
D. 3/2</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P10" s="5">
        <f>IF(OR(G10="✅ Đúng", I10="✅ Đúng", K10="✅ Đúng"), "Perpendicular Slope Condition: m1 * m2 = -1 =&gt; m_j = 3/2.", "🔒 Trả lời đúng để mở khóa Strategic Tip!")</f>
        <v/>
      </c>
    </row>
    <row r="11">
      <c r="A11" s="7" t="inlineStr">
        <is>
          <t>Q7</t>
        </is>
      </c>
      <c r="B11" s="5" t="inlineStr">
        <is>
          <t>Exponential Population Growth Rate</t>
        </is>
      </c>
      <c r="C11" s="5" t="inlineStr">
        <is>
          <t>Model P(t) = 250(1.08)^t gives the population after t hours.</t>
        </is>
      </c>
      <c r="D11" s="5" t="inlineStr">
        <is>
          <t>Calculator Allowed. By what percentage does the population increase each hour?</t>
        </is>
      </c>
      <c r="E11" s="5" t="inlineStr">
        <is>
          <t>A. 0.08%
B. 8%
C. 25%
D. 108%</t>
        </is>
      </c>
      <c r="F11" s="14" t="n"/>
      <c r="G11" s="7">
        <f>IF(ISBLANK(F11), "⏳ Chờ đáp án", IF(UPPER(TRIM(F11))="B", "✅ Đúng", "❌ Sai"))</f>
        <v/>
      </c>
      <c r="H11" s="14" t="n"/>
      <c r="I11" s="7">
        <f>IF(ISBLANK(H11), "", IF(UPPER(TRIM(H11))="B", "✅ Đúng", "❌ Sai"))</f>
        <v/>
      </c>
      <c r="J11" s="14" t="n"/>
      <c r="K11" s="7">
        <f>IF(ISBLANK(J11), "", IF(UPPER(TRIM(J11))="B",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P11" s="5">
        <f>IF(OR(G11="✅ Đúng", I11="✅ Đúng", K11="✅ Đúng"), "Growth Factor = 1 + r =&gt; 1.08 = 1 + 0.08 =&gt; r = 8%.", "🔒 Trả lời đúng để mở khóa Strategic Tip!")</f>
        <v/>
      </c>
    </row>
    <row r="12">
      <c r="A12" s="7" t="inlineStr">
        <is>
          <t>Q8</t>
        </is>
      </c>
      <c r="B12" s="5" t="inlineStr">
        <is>
          <t>Exponential Cooling Evaluation</t>
        </is>
      </c>
      <c r="C12" s="5" t="inlineStr">
        <is>
          <t>Temperature function g(t) = 296 + (362 - 296)(2.72)^(-0.104t).</t>
        </is>
      </c>
      <c r="D12" s="5" t="inlineStr">
        <is>
          <t>Calculator Allowed. What was the approximate temperature, in kelvins, when the liquid was placed on the table (t = 0)?</t>
        </is>
      </c>
      <c r="E12" s="5" t="inlineStr">
        <is>
          <t>Student-Produced Response (Grid-in). Enter the exact integer.</t>
        </is>
      </c>
      <c r="F12" s="14" t="n"/>
      <c r="G12" s="7">
        <f>IF(ISBLANK(F12), "⏳ Chờ đáp án", IF(UPPER(TRIM(F12))="362", "✅ Đúng", "❌ Sai"))</f>
        <v/>
      </c>
      <c r="H12" s="14" t="n"/>
      <c r="I12" s="7">
        <f>IF(ISBLANK(H12), "", IF(UPPER(TRIM(H12))="362", "✅ Đúng", "❌ Sai"))</f>
        <v/>
      </c>
      <c r="J12" s="14" t="n"/>
      <c r="K12" s="7">
        <f>IF(ISBLANK(J12), "", IF(UPPER(TRIM(J12))="362",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c>
      <c r="P12" s="5">
        <f>IF(OR(G12="✅ Đúng", I12="✅ Đúng", K12="✅ Đúng"), "Evaluate at t = 0: g(0) = 296 + (362 - 296) * 1 = 362.", "🔒 Trả lời đúng để mở khóa Strategic Tip!")</f>
        <v/>
      </c>
    </row>
    <row r="13">
      <c r="A13" s="7" t="inlineStr">
        <is>
          <t>Q9</t>
        </is>
      </c>
      <c r="B13" s="5" t="inlineStr">
        <is>
          <t>Linear Inequalities (Graphing)</t>
        </is>
      </c>
      <c r="C13" s="5" t="inlineStr">
        <is>
          <t>A shaded region lies below the line passing through (0, 4) with slope -3.</t>
        </is>
      </c>
      <c r="D13" s="5" t="inlineStr">
        <is>
          <t>Calculator Allowed. Which inequality represents the shaded region?</t>
        </is>
      </c>
      <c r="E13" s="5" t="inlineStr">
        <is>
          <t>A. y &lt; 3x + 4
B. y &lt; 3x - 4
C. y &gt; 3x + 4
D. y &lt; -3x + 4</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P13" s="5">
        <f>IF(OR(G13="✅ Đúng", I13="✅ Đúng", K13="✅ Đúng"), "Linear Inequality: Region below solid line y = -3x + 4 is y &lt; -3x + 4.", "🔒 Trả lời đúng để mở khóa Strategic Tip!")</f>
        <v/>
      </c>
    </row>
    <row r="14">
      <c r="A14" s="7" t="inlineStr">
        <is>
          <t>Q10</t>
        </is>
      </c>
      <c r="B14" s="5" t="inlineStr">
        <is>
          <t>Systems of Linear Equations (Substitution)</t>
        </is>
      </c>
      <c r="C14" s="5" t="inlineStr">
        <is>
          <t>System of equations: 3(2x) + 8(9y) = 534 and 3(2x) - 8(9y) = -618.</t>
        </is>
      </c>
      <c r="D14" s="5" t="inlineStr">
        <is>
          <t>Calculator Allowed. What is the value of 2x + 9y?</t>
        </is>
      </c>
      <c r="E14" s="5" t="inlineStr">
        <is>
          <t>A. -86
B. -14
C. 23
D. 72</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P14" s="5">
        <f>IF(OR(G14="✅ Đúng", I14="✅ Đúng", K14="✅ Đúng"), "Add equations: 12x = -84 =&gt; x = -7 =&gt; 2x = -14; 144y = 1152 =&gt; 9y = 72 =&gt; -14 + 72 = 58.", "🔒 Trả lời đúng để mở khóa Strategic Tip!")</f>
        <v/>
      </c>
    </row>
    <row r="15">
      <c r="A15" s="7" t="inlineStr">
        <is>
          <t>Q11</t>
        </is>
      </c>
      <c r="B15" s="5" t="inlineStr">
        <is>
          <t>Quadratic Vertex &amp; Maximum</t>
        </is>
      </c>
      <c r="C15" s="5" t="inlineStr">
        <is>
          <t>Given the function f(x) = -2(x - 3)^2 + 8.</t>
        </is>
      </c>
      <c r="D15" s="5" t="inlineStr">
        <is>
          <t>Calculator Allowed. What is the maximum value of f(x)?</t>
        </is>
      </c>
      <c r="E15" s="5" t="inlineStr">
        <is>
          <t>A. -2
B. 3
C. 6
D. 8</t>
        </is>
      </c>
      <c r="F15" s="14" t="n"/>
      <c r="G15" s="7">
        <f>IF(ISBLANK(F15), "⏳ Chờ đáp án", IF(UPPER(TRIM(F15))="D", "✅ Đúng", "❌ Sai"))</f>
        <v/>
      </c>
      <c r="H15" s="14" t="n"/>
      <c r="I15" s="7">
        <f>IF(ISBLANK(H15), "", IF(UPPER(TRIM(H15))="D", "✅ Đúng", "❌ Sai"))</f>
        <v/>
      </c>
      <c r="J15" s="14" t="n"/>
      <c r="K15" s="7">
        <f>IF(ISBLANK(J15), "", IF(UPPER(TRIM(J15))="D",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P15" s="5">
        <f>IF(OR(G15="✅ Đúng", I15="✅ Đúng", K15="✅ Đúng"), "Parabola Vertex (h, k) with a &lt; 0 has maximum value = k = 8.", "🔒 Trả lời đúng để mở khóa Strategic Tip!")</f>
        <v/>
      </c>
    </row>
    <row r="16">
      <c r="A16" s="7" t="inlineStr">
        <is>
          <t>Q12</t>
        </is>
      </c>
      <c r="B16" s="5" t="inlineStr">
        <is>
          <t>Statistics (Effect of Adding Outlier on Mean &amp; Median)</t>
        </is>
      </c>
      <c r="C16" s="5" t="inlineStr">
        <is>
          <t>A frequency table summarizes ages of 50 coins (mean = 72.5, median = 70). Vivek adds a 51st coin aged 90 years.</t>
        </is>
      </c>
      <c r="D16" s="5" t="inlineStr">
        <is>
          <t>Calculator Allowed. Which statement correctly compares the mean and median ages of the original and new collections?</t>
        </is>
      </c>
      <c r="E16" s="5" t="inlineStr">
        <is>
          <t>A. The mean age increases, and the median age increases.
B. The mean age for the new collection is greater than the original, but the median age is the same.
C. The mean age is less, and the median age is less.
D. The median age increases, but the mean age remains the same.</t>
        </is>
      </c>
      <c r="F16" s="14" t="n"/>
      <c r="G16" s="7">
        <f>IF(ISBLANK(F16), "⏳ Chờ đáp án", IF(UPPER(TRIM(F16))="B", "✅ Đúng", "❌ Sai"))</f>
        <v/>
      </c>
      <c r="H16" s="14" t="n"/>
      <c r="I16" s="7">
        <f>IF(ISBLANK(H16), "", IF(UPPER(TRIM(H16))="B", "✅ Đúng", "❌ Sai"))</f>
        <v/>
      </c>
      <c r="J16" s="14" t="n"/>
      <c r="K16" s="7">
        <f>IF(ISBLANK(J16), "", IF(UPPER(TRIM(J16))="B",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P16" s="5">
        <f>IF(OR(G16="✅ Đúng", I16="✅ Đúng", K16="✅ Đúng"), "Adding a high value increases Mean; Median position remains in the same frequency bin.", "🔒 Trả lời đúng để mở khóa Strategic Tip!")</f>
        <v/>
      </c>
    </row>
    <row r="17">
      <c r="A17" s="7" t="inlineStr">
        <is>
          <t>Q13</t>
        </is>
      </c>
      <c r="B17" s="5" t="inlineStr">
        <is>
          <t>Non-linear Systems (Circle &amp; Line)</t>
        </is>
      </c>
      <c r="C17" s="5" t="inlineStr">
        <is>
          <t>System of equations: x^2 + y^2 = 64 and y = mx + b/2. Intersect at (-7, y) with y &lt; 0.</t>
        </is>
      </c>
      <c r="D17" s="5" t="inlineStr">
        <is>
          <t>Calculator Allowed. Which expression represents the value of b?</t>
        </is>
      </c>
      <c r="E17" s="5" t="inlineStr">
        <is>
          <t>A. 14m - 2*sqrt(15)
B. -14m + 2*sqrt(15)
C. 7m/2 - sqrt(15)/2
D. -7m/2 + sqrt(15)/2</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P17" s="5">
        <f>IF(OR(G17="✅ Đúng", I17="✅ Đúng", K17="✅ Đúng"), "Substitute (-7, -sqrt(15)) into line equation =&gt; -sqrt(15) = -7m + b/2 =&gt; b = 14m - 2*sqrt(15).", "🔒 Trả lời đúng để mở khóa Strategic Tip!")</f>
        <v/>
      </c>
    </row>
    <row r="18">
      <c r="A18" s="7" t="inlineStr">
        <is>
          <t>Q14</t>
        </is>
      </c>
      <c r="B18" s="5" t="inlineStr">
        <is>
          <t>Geometry (Similar Triangles)</t>
        </is>
      </c>
      <c r="C18" s="5" t="inlineStr">
        <is>
          <t>In triangle ABC, DE is parallel to AC, BD = AD, BE = 9, and AC = 8.</t>
        </is>
      </c>
      <c r="D18" s="5" t="inlineStr">
        <is>
          <t>Calculator Allowed. What is the length of BC?</t>
        </is>
      </c>
      <c r="E18" s="5" t="inlineStr">
        <is>
          <t>A. 18
B. 12
C. 17
D. 16</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P18" s="5">
        <f>IF(OR(G18="✅ Đúng", I18="✅ Đúng", K18="✅ Đúng"), "Midpoint Segment Theorem: BC = 2 * BE = 18.", "🔒 Trả lời đúng để mở khóa Strategic Tip!")</f>
        <v/>
      </c>
    </row>
    <row r="19">
      <c r="A19" s="7" t="inlineStr">
        <is>
          <t>Q15</t>
        </is>
      </c>
      <c r="B19" s="5" t="inlineStr">
        <is>
          <t>Systems of Equations Evaluation</t>
        </is>
      </c>
      <c r="C19" s="5" t="inlineStr">
        <is>
          <t>System of equations: 2x + 3y = 19 and 2x - y = 3.</t>
        </is>
      </c>
      <c r="D19" s="5" t="inlineStr">
        <is>
          <t>Calculator Allowed. What is the value of x + y?</t>
        </is>
      </c>
      <c r="E19" s="5" t="inlineStr">
        <is>
          <t>A. 5
B. 7
C. 8
D. 9</t>
        </is>
      </c>
      <c r="F19" s="14" t="n"/>
      <c r="G19" s="7">
        <f>IF(ISBLANK(F19), "⏳ Chờ đáp án", IF(UPPER(TRIM(F19))="B", "✅ Đúng", "❌ Sai"))</f>
        <v/>
      </c>
      <c r="H19" s="14" t="n"/>
      <c r="I19" s="7">
        <f>IF(ISBLANK(H19), "", IF(UPPER(TRIM(H19))="B", "✅ Đúng", "❌ Sai"))</f>
        <v/>
      </c>
      <c r="J19" s="14" t="n"/>
      <c r="K19" s="7">
        <f>IF(ISBLANK(J19), "", IF(UPPER(TRIM(J19))="B",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P19" s="5">
        <f>IF(OR(G19="✅ Đúng", I19="✅ Đúng", K19="✅ Đúng"), "Solve system: y = 4, x = 3 =&gt; x + y = 7.", "🔒 Trả lời đúng để mở khóa Strategic Tip!")</f>
        <v/>
      </c>
    </row>
    <row r="20">
      <c r="A20" s="7" t="inlineStr">
        <is>
          <t>Q16</t>
        </is>
      </c>
      <c r="B20" s="5" t="inlineStr">
        <is>
          <t>Statistics (Sampling Bias)</t>
        </is>
      </c>
      <c r="C20" s="5" t="inlineStr">
        <is>
          <t>A study on melatonin levels sampled 125 gamers from 3 countries (Sweden 25, South Korea 49, US 51).</t>
        </is>
      </c>
      <c r="D20" s="5" t="inlineStr">
        <is>
          <t>Calculator Allowed. Which aspect prevents the results from being generalized to ALL gamers globally?</t>
        </is>
      </c>
      <c r="E20" s="5" t="inlineStr">
        <is>
          <t>A. The gamers were not selected at random from all gamers worldwide.
B. The number of gamers is too small.
C. The number of gamers from each country is different.
D. Melatonin was not measured over a long enough period.</t>
        </is>
      </c>
      <c r="F20" s="14" t="n"/>
      <c r="G20" s="7">
        <f>IF(ISBLANK(F20), "⏳ Chờ đáp án", IF(UPPER(TRIM(F20))="A", "✅ Đúng", "❌ Sai"))</f>
        <v/>
      </c>
      <c r="H20" s="14" t="n"/>
      <c r="I20" s="7">
        <f>IF(ISBLANK(H20), "", IF(UPPER(TRIM(H20))="A", "✅ Đúng", "❌ Sai"))</f>
        <v/>
      </c>
      <c r="J20" s="14" t="n"/>
      <c r="K20" s="7">
        <f>IF(ISBLANK(J20), "", IF(UPPER(TRIM(J20))="A",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P20" s="5">
        <f>IF(OR(G20="✅ Đúng", I20="✅ Đúng", K20="✅ Đúng"), "Generalizability requires random sampling from the target population.", "🔒 Trả lời đúng để mở khóa Strategic Tip!")</f>
        <v/>
      </c>
    </row>
    <row r="21" ht="15.75" customHeight="1" s="19">
      <c r="A21" s="7" t="inlineStr">
        <is>
          <t>Q17</t>
        </is>
      </c>
      <c r="B21" s="5" t="inlineStr">
        <is>
          <t>Trigonometry (Right Triangle Ratios)</t>
        </is>
      </c>
      <c r="C21" s="5" t="inlineStr">
        <is>
          <t>In right triangle ABC with right angle C = 90 deg, cos A = 5/13.</t>
        </is>
      </c>
      <c r="D21" s="5" t="inlineStr">
        <is>
          <t>Calculator Allowed. What is the value of tan A?</t>
        </is>
      </c>
      <c r="E21" s="5" t="inlineStr">
        <is>
          <t>A. 5/12
B. 12/5
C. 13/5
D. 12/13</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c>
      <c r="P21" s="5">
        <f>IF(OR(G21="✅ Đúng", I21="✅ Đúng", K21="✅ Đúng"), "5-12-13 Right Triangle: cos A = 5/13 =&gt; sin A = 12/13 =&gt; tan A = 12/5.", "🔒 Trả lời đúng để mở khóa Strategic Tip!")</f>
        <v/>
      </c>
    </row>
    <row r="22" ht="15.75" customHeight="1" s="19">
      <c r="A22" s="7" t="inlineStr">
        <is>
          <t>Q18</t>
        </is>
      </c>
      <c r="B22" s="5" t="inlineStr">
        <is>
          <t>Percentages (Percent Increase)</t>
        </is>
      </c>
      <c r="C22" s="5" t="inlineStr">
        <is>
          <t>Guests used the pool for t hours in March and 3.41t hours in April.</t>
        </is>
      </c>
      <c r="D22" s="5" t="inlineStr">
        <is>
          <t>Calculator Allowed. What is the percent increase in pool usage from March to April?</t>
        </is>
      </c>
      <c r="E22" s="5" t="inlineStr">
        <is>
          <t>A. 2.41%
B. 3.41%
C. 241%
D. 341%</t>
        </is>
      </c>
      <c r="F22" s="14" t="n"/>
      <c r="G22" s="7">
        <f>IF(ISBLANK(F22), "⏳ Chờ đáp án", IF(UPPER(TRIM(F22))="C", "✅ Đúng", "❌ Sai"))</f>
        <v/>
      </c>
      <c r="H22" s="14" t="n"/>
      <c r="I22" s="7">
        <f>IF(ISBLANK(H22), "", IF(UPPER(TRIM(H22))="C", "✅ Đúng", "❌ Sai"))</f>
        <v/>
      </c>
      <c r="J22" s="14" t="n"/>
      <c r="K22" s="7">
        <f>IF(ISBLANK(J22), "", IF(UPPER(TRIM(J22))="C",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c>
      <c r="P22" s="5">
        <f>IF(OR(G22="✅ Đúng", I22="✅ Đúng", K22="✅ Đúng"), "Percent Increase = (3.41 - 1) * 100% = 241%.", "🔒 Trả lời đúng để mở khóa Strategic Tip!")</f>
        <v/>
      </c>
    </row>
    <row r="23" ht="15.75" customHeight="1" s="19">
      <c r="A23" s="7" t="inlineStr">
        <is>
          <t>Q19</t>
        </is>
      </c>
      <c r="B23" s="5" t="inlineStr">
        <is>
          <t>Algebraic Expansion &amp; Coefficients</t>
        </is>
      </c>
      <c r="C23" s="5" t="inlineStr">
        <is>
          <t>The expression [4(3x - 4)^2 + 6(3x - 2)^2] / 4 can be rewritten as (a/4)x^2 + (b/4)x + (c/4).</t>
        </is>
      </c>
      <c r="D23" s="5" t="inlineStr">
        <is>
          <t>Calculator Allowed. What is the value of a + b + c?</t>
        </is>
      </c>
      <c r="E23" s="5" t="inlineStr">
        <is>
          <t>A. -32
B. -16
C. -8
D. 24</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c>
      <c r="P23" s="5">
        <f>IF(OR(G23="✅ Đúng", I23="✅ Đúng", K23="✅ Đúng"), "Evaluate at x = 1 to find sum of coefficients a + b + c.", "🔒 Trả lời đúng để mở khóa Strategic Tip!")</f>
        <v/>
      </c>
    </row>
    <row r="24" ht="15.75" customHeight="1" s="19">
      <c r="A24" s="7" t="inlineStr">
        <is>
          <t>Q20</t>
        </is>
      </c>
      <c r="B24" s="5" t="inlineStr">
        <is>
          <t>Consecutive Integers Inequality</t>
        </is>
      </c>
      <c r="C24" s="5" t="inlineStr">
        <is>
          <t>The sum of three consecutive even integers is less than 123. The least integer is x.</t>
        </is>
      </c>
      <c r="D24" s="5" t="inlineStr">
        <is>
          <t>Calculator Allowed. What is the greatest possible value of x?</t>
        </is>
      </c>
      <c r="E24" s="5" t="inlineStr">
        <is>
          <t>A. 41
B. 40
C. 39
D. 38</t>
        </is>
      </c>
      <c r="F24" s="14" t="n"/>
      <c r="G24" s="7">
        <f>IF(ISBLANK(F24), "⏳ Chờ đáp án", IF(UPPER(TRIM(F24))="D", "✅ Đúng", "❌ Sai"))</f>
        <v/>
      </c>
      <c r="H24" s="14" t="n"/>
      <c r="I24" s="7">
        <f>IF(ISBLANK(H24), "", IF(UPPER(TRIM(H24))="D", "✅ Đúng", "❌ Sai"))</f>
        <v/>
      </c>
      <c r="J24" s="14" t="n"/>
      <c r="K24" s="7">
        <f>IF(ISBLANK(J24), "", IF(UPPER(TRIM(J24))="D",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P24" s="5">
        <f>IF(OR(G24="✅ Đúng", I24="✅ Đúng", K24="✅ Đúng"), "3x + 6 &lt; 123 =&gt; x &lt; 39. Greatest even integer is 38.", "🔒 Trả lời đúng để mở khóa Strategic Tip!")</f>
        <v/>
      </c>
    </row>
    <row r="25" ht="15.75" customHeight="1" s="19">
      <c r="A25" s="7" t="inlineStr">
        <is>
          <t>Q21</t>
        </is>
      </c>
      <c r="B25" s="5" t="inlineStr">
        <is>
          <t>Similar 3D Solids (Area &amp; Volume Ratios)</t>
        </is>
      </c>
      <c r="C25" s="5" t="inlineStr">
        <is>
          <t>Prism X is similar to Prism Y. Surface area X = 52 cm^2, Surface area Y = 832 cm^2. Volume X = 10.5 cm^3.</t>
        </is>
      </c>
      <c r="D25" s="5" t="inlineStr">
        <is>
          <t>Calculator Allowed. What is the volume, in cm^3, of right rectangular prism Y?</t>
        </is>
      </c>
      <c r="E25" s="5" t="inlineStr">
        <is>
          <t>Student-Produced Response (Grid-in). Enter the exact number.</t>
        </is>
      </c>
      <c r="F25" s="14" t="n"/>
      <c r="G25" s="7">
        <f>IF(ISBLANK(F25), "⏳ Chờ đáp án", IF(UPPER(TRIM(F25))="672", "✅ Đúng", "❌ Sai"))</f>
        <v/>
      </c>
      <c r="H25" s="14" t="n"/>
      <c r="I25" s="7">
        <f>IF(ISBLANK(H25), "", IF(UPPER(TRIM(H25))="672", "✅ Đúng", "❌ Sai"))</f>
        <v/>
      </c>
      <c r="J25" s="14" t="n"/>
      <c r="K25" s="7">
        <f>IF(ISBLANK(J25), "", IF(UPPER(TRIM(J25))="672",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P25" s="5">
        <f>IF(OR(G25="✅ Đúng", I25="✅ Đúng", K25="✅ Đúng"), "Area ratio k^2 = 16 =&gt; k = 4 =&gt; Volume ratio k^3 = 64 =&gt; Vol Y = 10.5 * 64 = 672.", "🔒 Trả lời đúng để mở khóa Strategic Tip!")</f>
        <v/>
      </c>
    </row>
    <row r="26" ht="15.75" customHeight="1" s="19">
      <c r="A26" s="7" t="inlineStr">
        <is>
          <t>Q22</t>
        </is>
      </c>
      <c r="B26" s="5" t="inlineStr">
        <is>
          <t>Quadratic Equation (Sum of Roots)</t>
        </is>
      </c>
      <c r="C26" s="5" t="inlineStr">
        <is>
          <t>Equation: 18(w - a)(w + 5) = 6(w + 5). The sum of solutions is 37/3.</t>
        </is>
      </c>
      <c r="D26" s="5" t="inlineStr">
        <is>
          <t>Calculator Allowed. What is the value of a?</t>
        </is>
      </c>
      <c r="E26" s="5" t="inlineStr">
        <is>
          <t>Student-Produced Response (Grid-in). Enter the exact integer or fraction.</t>
        </is>
      </c>
      <c r="F26" s="14" t="n"/>
      <c r="G26" s="7">
        <f>IF(ISBLANK(F26), "⏳ Chờ đáp án", IF(UPPER(TRIM(F26))="362", "✅ Đúng", "❌ Sai"))</f>
        <v/>
      </c>
      <c r="H26" s="14" t="n"/>
      <c r="I26" s="7">
        <f>IF(ISBLANK(H26), "", IF(UPPER(TRIM(H26))="362", "✅ Đúng", "❌ Sai"))</f>
        <v/>
      </c>
      <c r="J26" s="14" t="n"/>
      <c r="K26" s="7">
        <f>IF(ISBLANK(J26), "", IF(UPPER(TRIM(J26))="362",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c>
      <c r="P26" s="5">
        <f>IF(OR(G26="✅ Đúng", I26="✅ Đúng", K26="✅ Đúng"), "Roots are w1 = -5 and w2 = a + 1/3 =&gt; -5 + a + 1/3 = 37/3 =&gt; a = 17.",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2"/>
  <sheetViews>
    <sheetView showGridLines="0" workbookViewId="0">
      <pane xSplit="6" ySplit="4" topLeftCell="G5" activePane="bottomRight" state="frozen"/>
      <selection pane="topRight" activeCell="G1" sqref="G1"/>
      <selection pane="bottomLeft" activeCell="A5" sqref="A5"/>
      <selection pane="bottomRight" activeCell="G5" sqref="G5"/>
    </sheetView>
  </sheetViews>
  <sheetFormatPr baseColWidth="8" defaultColWidth="14.43" defaultRowHeight="15" customHeight="1" outlineLevelCol="0"/>
  <cols>
    <col width="10" customWidth="1" style="19" min="1" max="1"/>
    <col width="25" customWidth="1" style="19" min="2" max="3"/>
    <col width="45" customWidth="1" style="19" min="4" max="4"/>
    <col width="35" customWidth="1" style="19" min="5" max="6"/>
    <col width="12" customWidth="1" style="19" min="7" max="7"/>
    <col width="14" customWidth="1" style="19" min="8" max="8"/>
    <col width="12" customWidth="1" style="19" min="9" max="9"/>
    <col width="14" customWidth="1" style="19" min="10" max="10"/>
    <col width="12" customWidth="1" style="19" min="11" max="11"/>
    <col width="14" customWidth="1" style="19" min="12" max="12"/>
    <col width="15" customWidth="1" style="19" min="13" max="13"/>
    <col width="22" customWidth="1" style="19" min="14" max="14"/>
    <col width="15" customWidth="1" style="19" min="15" max="15"/>
    <col width="45" customWidth="1" style="19" min="16" max="16"/>
    <col width="35" customWidth="1" style="19" min="17" max="17"/>
    <col width="8.710000000000001" customWidth="1" style="19" min="18" max="26"/>
  </cols>
  <sheetData>
    <row r="1">
      <c r="A1" s="1" t="inlineStr">
        <is>
          <t>MASTER QUESTION BANK: ALL 98 QUESTIONS (OCTOBER 2026 TEST)</t>
        </is>
      </c>
    </row>
    <row r="2">
      <c r="A2" s="2" t="inlineStr">
        <is>
          <t>Tập hợp toàn bộ 98 câu hỏi liên tục từ ID M1 đến M98 của cả 4 Modules để thi thử tổng hợp</t>
        </is>
      </c>
    </row>
    <row r="4" ht="27.75" customHeight="1" s="19">
      <c r="A4" s="3" t="inlineStr">
        <is>
          <t>Master ID</t>
        </is>
      </c>
      <c r="B4" s="3" t="inlineStr">
        <is>
          <t>Module Nguồn</t>
        </is>
      </c>
      <c r="C4" s="3" t="inlineStr">
        <is>
          <t>Topic / Skill Focus</t>
        </is>
      </c>
      <c r="D4" s="3" t="inlineStr">
        <is>
          <t>Passage &amp; Context</t>
        </is>
      </c>
      <c r="E4" s="3" t="inlineStr">
        <is>
          <t>Question Prompt / Calculator</t>
        </is>
      </c>
      <c r="F4" s="3" t="inlineStr">
        <is>
          <t>Options / Choices (No Answer)</t>
        </is>
      </c>
      <c r="G4" s="3" t="inlineStr">
        <is>
          <t>Lần thử 1</t>
        </is>
      </c>
      <c r="H4" s="3" t="inlineStr">
        <is>
          <t>Kết quả L1</t>
        </is>
      </c>
      <c r="I4" s="3" t="inlineStr">
        <is>
          <t>Lần thử 2</t>
        </is>
      </c>
      <c r="J4" s="3" t="inlineStr">
        <is>
          <t>Kết quả L2</t>
        </is>
      </c>
      <c r="K4" s="3" t="inlineStr">
        <is>
          <t>Lần thử 3</t>
        </is>
      </c>
      <c r="L4" s="3" t="inlineStr">
        <is>
          <t>Kết quả L3</t>
        </is>
      </c>
      <c r="M4" s="3" t="inlineStr">
        <is>
          <t>Tổng số cột Sai</t>
        </is>
      </c>
      <c r="N4" s="3" t="inlineStr">
        <is>
          <t>Trạng thái Hoàn thành</t>
        </is>
      </c>
      <c r="O4" s="3" t="inlineStr">
        <is>
          <t>Hiệu suất (%)</t>
        </is>
      </c>
      <c r="P4" s="3" t="inlineStr">
        <is>
          <t>Hint / Gợi ý Đa tầng (Không đáp án)</t>
        </is>
      </c>
      <c r="Q4" s="3" t="inlineStr">
        <is>
          <t>Strategic Tip / Formula</t>
        </is>
      </c>
    </row>
    <row r="5">
      <c r="A5" s="7" t="inlineStr">
        <is>
          <t>M1</t>
        </is>
      </c>
      <c r="B5" s="7" t="inlineStr">
        <is>
          <t>Reading &amp; Writing Module 1</t>
        </is>
      </c>
      <c r="C5" s="5" t="inlineStr">
        <is>
          <t>Vocabulary in Context (Precision)</t>
        </is>
      </c>
      <c r="D5" s="5" t="inlineStr">
        <is>
          <t>the source of a malfunction in a complex electrical system can be a time-consuming process: a repair technician may need to test each individual component one by one until the specific part causing the problematic behavior is identified.</t>
        </is>
      </c>
      <c r="E5" s="5" t="inlineStr">
        <is>
          <t>Which choice completes the text with the most logical and precise word or phrase?</t>
        </is>
      </c>
      <c r="F5" s="5" t="inlineStr">
        <is>
          <t>A. Adapting
B. Isolating
C. Incorporating
D. Fabricating</t>
        </is>
      </c>
      <c r="G5" s="14" t="n"/>
      <c r="H5" s="7">
        <f>IF(ISBLANK(G5), "⏳ Chờ đáp án", IF(UPPER(TRIM(G5))="B", "✅ Đúng", "❌ Sai"))</f>
        <v/>
      </c>
      <c r="I5" s="14" t="n"/>
      <c r="J5" s="7">
        <f>IF(ISBLANK(I5), "", IF(UPPER(TRIM(I5))="B", "✅ Đúng", "❌ Sai"))</f>
        <v/>
      </c>
      <c r="K5" s="14" t="n"/>
      <c r="L5" s="7">
        <f>IF(ISBLANK(K5), "", IF(UPPER(TRIM(K5))="B", "✅ Đúng", "❌ Sai"))</f>
        <v/>
      </c>
      <c r="M5" s="7">
        <f>COUNTIF(H5, "❌ Sai") + COUNTIF(J5, "❌ Sai") + COUNTIF(L5, "❌ Sai")</f>
        <v/>
      </c>
      <c r="N5" s="7">
        <f>IF(ISBLANK(G5), "⏳ Chờ làm", IF(H5="✅ Đúng", "✅ Đúng ngay L1", IF(J5="✅ Đúng", "✅ Đúng ở L2", IF(L5="✅ Đúng", "✅ Đúng ở L3", "❌ Chưa đúng sau 3 lần"))))</f>
        <v/>
      </c>
      <c r="O5" s="13">
        <f>IF(ISBLANK(F5), "💡 Nhập đáp án vào Lần thử 1", IF(G5="✅ Đúng", "✨ Xuất sắc! Bạn đã làm đúng.", "💡 Gợi ý: " &amp; "Xác định thái độ của tác giả và mối quan hệ logic trong câu; chú ý các từ ngữ miêu tả mục đích chính xác của hành động."))</f>
        <v/>
      </c>
      <c r="P5" s="5">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Q5" s="5">
        <f>IF(OR(H5="✅ Đúng", J5="✅ Đúng", L5="✅ Đúng"), "Isolating = identifying/singling out the specific cause of a problem.", "🔒 Trả lời đúng để mở khóa Strategic Tip!")</f>
        <v/>
      </c>
    </row>
    <row r="6">
      <c r="A6" s="7" t="inlineStr">
        <is>
          <t>M2</t>
        </is>
      </c>
      <c r="B6" s="7" t="inlineStr">
        <is>
          <t>Reading &amp; Writing Module 1</t>
        </is>
      </c>
      <c r="C6" s="5" t="inlineStr">
        <is>
          <t>Vocabulary in Context (Biological Processes)</t>
        </is>
      </c>
      <c r="D6" s="5" t="inlineStr">
        <is>
          <t>Single-celled foraminifera inhabiting coastal waters experience significant environmental salinity changes during tidal cycles. How, then, do they _____ internal salt levels? Some organisms maintain high concentrations of phosphates that allow them to affect the concentration of internal electrolytes—including salt—in response to external changes.</t>
        </is>
      </c>
      <c r="E6" s="5" t="inlineStr">
        <is>
          <t>Which choice completes the text with the most logical and precise word or phrase?</t>
        </is>
      </c>
      <c r="F6" s="5" t="inlineStr">
        <is>
          <t>A. counteract
B. elude
C. tolerate
D. regulate</t>
        </is>
      </c>
      <c r="G6" s="14" t="n"/>
      <c r="H6" s="7">
        <f>IF(ISBLANK(G6), "⏳ Chờ đáp án", IF(UPPER(TRIM(G6))="D", "✅ Đúng", "❌ Sai"))</f>
        <v/>
      </c>
      <c r="I6" s="14" t="n"/>
      <c r="J6" s="7">
        <f>IF(ISBLANK(I6), "", IF(UPPER(TRIM(I6))="D", "✅ Đúng", "❌ Sai"))</f>
        <v/>
      </c>
      <c r="K6" s="14" t="n"/>
      <c r="L6" s="7">
        <f>IF(ISBLANK(K6), "", IF(UPPER(TRIM(K6))="D", "✅ Đúng", "❌ Sai"))</f>
        <v/>
      </c>
      <c r="M6" s="7">
        <f>COUNTIF(H6, "❌ Sai") + COUNTIF(J6, "❌ Sai") + COUNTIF(L6, "❌ Sai")</f>
        <v/>
      </c>
      <c r="N6" s="7">
        <f>IF(ISBLANK(G6), "⏳ Chờ làm", IF(H6="✅ Đúng", "✅ Đúng ngay L1", IF(J6="✅ Đúng", "✅ Đúng ở L2", IF(L6="✅ Đúng", "✅ Đúng ở L3", "❌ Chưa đúng sau 3 lần"))))</f>
        <v/>
      </c>
      <c r="O6" s="13">
        <f>IF(ISBLANK(F6), "💡 Nhập đáp án vào Lần thử 1", IF(G6="✅ Đúng", "✨ Xuất sắc! Bạn đã làm đúng.", "💡 Gợi ý: " &amp; "Phân tích ngữ cảnh sinh học trong đoạn văn và xác định động từ thể hiện đúng chức năng của cơ chế được mô tả."))</f>
        <v/>
      </c>
      <c r="P6" s="5">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Q6" s="5">
        <f>IF(OR(H6="✅ Đúng", J6="✅ Đúng", L6="✅ Đúng"), "Regulate = control or maintain at a steady level.", "🔒 Trả lời đúng để mở khóa Strategic Tip!")</f>
        <v/>
      </c>
    </row>
    <row r="7">
      <c r="A7" s="7" t="inlineStr">
        <is>
          <t>M3</t>
        </is>
      </c>
      <c r="B7" s="7" t="inlineStr">
        <is>
          <t>Reading &amp; Writing Module 1</t>
        </is>
      </c>
      <c r="C7" s="5" t="inlineStr">
        <is>
          <t>Vocabulary in Context (Research Approaches)</t>
        </is>
      </c>
      <c r="D7" s="5" t="inlineStr">
        <is>
          <t>Though most studies of the effect of altitude on blood chemistry usually concentrate on people who live above sea level, researchers Suleiman A. Al-Sweedan and Moath Alhaj have instead chosen the _____ path in their recent work of studying the blood of people who live below sea level, in locations such as the California towns of Westmorland and Thermal.</t>
        </is>
      </c>
      <c r="E7" s="5" t="inlineStr">
        <is>
          <t>Which choice completes the text with the most logical and precise word or phrase?</t>
        </is>
      </c>
      <c r="F7" s="5" t="inlineStr">
        <is>
          <t>A. predictable
B. innovative
C. idealistic
D. superficial</t>
        </is>
      </c>
      <c r="G7" s="14" t="n"/>
      <c r="H7" s="7">
        <f>IF(ISBLANK(G7), "⏳ Chờ đáp án", IF(UPPER(TRIM(G7))="B", "✅ Đúng", "❌ Sai"))</f>
        <v/>
      </c>
      <c r="I7" s="14" t="n"/>
      <c r="J7" s="7">
        <f>IF(ISBLANK(I7), "", IF(UPPER(TRIM(I7))="B", "✅ Đúng", "❌ Sai"))</f>
        <v/>
      </c>
      <c r="K7" s="14" t="n"/>
      <c r="L7" s="7">
        <f>IF(ISBLANK(K7), "", IF(UPPER(TRIM(K7))="B", "✅ Đúng", "❌ Sai"))</f>
        <v/>
      </c>
      <c r="M7" s="7">
        <f>COUNTIF(H7, "❌ Sai") + COUNTIF(J7, "❌ Sai") + COUNTIF(L7, "❌ Sai")</f>
        <v/>
      </c>
      <c r="N7" s="7">
        <f>IF(ISBLANK(G7), "⏳ Chờ làm", IF(H7="✅ Đúng", "✅ Đúng ngay L1", IF(J7="✅ Đúng", "✅ Đúng ở L2", IF(L7="✅ Đúng", "✅ Đúng ở L3", "❌ Chưa đúng sau 3 lần"))))</f>
        <v/>
      </c>
      <c r="O7" s="13">
        <f>IF(ISBLANK(F7), "💡 Nhập đáp án vào Lần thử 1", IF(G7="✅ Đúng", "✨ Xuất sắc! Bạn đã làm đúng.", "💡 Gợi ý: " &amp; "Chú ý từ nối đối lập hoặc tương phản trong câu để xác định hướng nghiên cứu trái ngược với phương pháp truyền thống."))</f>
        <v/>
      </c>
      <c r="P7" s="5">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Q7" s="5">
        <f>IF(OR(H7="✅ Đúng", J7="✅ Đúng", L7="✅ Đúng"), "Innovative = introducing new, original, or unusual methods.", "🔒 Trả lời đúng để mở khóa Strategic Tip!")</f>
        <v/>
      </c>
    </row>
    <row r="8">
      <c r="A8" s="7" t="inlineStr">
        <is>
          <t>M4</t>
        </is>
      </c>
      <c r="B8" s="7" t="inlineStr">
        <is>
          <t>Reading &amp; Writing Module 1</t>
        </is>
      </c>
      <c r="C8" s="5" t="inlineStr">
        <is>
          <t>Vocabulary in Context (Sufficiency)</t>
        </is>
      </c>
      <c r="D8" s="5" t="inlineStr">
        <is>
          <t>While basic computer security training that only teaches recognition of obvious scams cannot provide _____ protection against today's sophisticated fake emails, which employ such subtle deception techniques that many organizations now require their staff to complete comprehensive cybersecurity education programs.</t>
        </is>
      </c>
      <c r="E8" s="5" t="inlineStr">
        <is>
          <t>Which choice completes the text with the most logical and precise word or phrase?</t>
        </is>
      </c>
      <c r="F8" s="5" t="inlineStr">
        <is>
          <t>A. uncommon
B. superficial
C. sufficient
D. affordable</t>
        </is>
      </c>
      <c r="G8" s="14" t="n"/>
      <c r="H8" s="7">
        <f>IF(ISBLANK(G8), "⏳ Chờ đáp án", IF(UPPER(TRIM(G8))="C", "✅ Đúng", "❌ Sai"))</f>
        <v/>
      </c>
      <c r="I8" s="14" t="n"/>
      <c r="J8" s="7">
        <f>IF(ISBLANK(I8), "", IF(UPPER(TRIM(I8))="C", "✅ Đúng", "❌ Sai"))</f>
        <v/>
      </c>
      <c r="K8" s="14" t="n"/>
      <c r="L8" s="7">
        <f>IF(ISBLANK(K8), "", IF(UPPER(TRIM(K8))="C", "✅ Đúng", "❌ Sai"))</f>
        <v/>
      </c>
      <c r="M8" s="7">
        <f>COUNTIF(H8, "❌ Sai") + COUNTIF(J8, "❌ Sai") + COUNTIF(L8, "❌ Sai")</f>
        <v/>
      </c>
      <c r="N8" s="7">
        <f>IF(ISBLANK(G8), "⏳ Chờ làm", IF(H8="✅ Đúng", "✅ Đúng ngay L1", IF(J8="✅ Đúng", "✅ Đúng ở L2", IF(L8="✅ Đúng", "✅ Đúng ở L3", "❌ Chưa đúng sau 3 lần"))))</f>
        <v/>
      </c>
      <c r="O8" s="13">
        <f>IF(ISBLANK(F8), "💡 Nhập đáp án vào Lần thử 1", IF(G8="✅ Đúng", "✨ Xuất sắc! Bạn đã làm đúng.", "💡 Gợi ý: " &amp; "Đọc kỹ câu văn để xác định mức độ hoặc giới hạn của việc đào tạo được đề cập trước khi đưa ra lựa chọn."))</f>
        <v/>
      </c>
      <c r="P8" s="5">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Q8" s="5">
        <f>IF(OR(H8="✅ Đúng", J8="✅ Đúng", L8="✅ Đúng"), "Sufficient = adequate or enough for a specific requirement.", "🔒 Trả lời đúng để mở khóa Strategic Tip!")</f>
        <v/>
      </c>
    </row>
    <row r="9">
      <c r="A9" s="7" t="inlineStr">
        <is>
          <t>M5</t>
        </is>
      </c>
      <c r="B9" s="7" t="inlineStr">
        <is>
          <t>Reading &amp; Writing Module 1</t>
        </is>
      </c>
      <c r="C9" s="5" t="inlineStr">
        <is>
          <t>Text Structure &amp; Overall Purpose</t>
        </is>
      </c>
      <c r="D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E9" s="5" t="inlineStr">
        <is>
          <t>Which choice best describes the overall structure of the text?</t>
        </is>
      </c>
      <c r="F9" s="5" t="inlineStr">
        <is>
          <t>A. It lists the number of cities in one country, then compares that number to another country.
B. It poses a question, then explains why the question has many answers.
C. It offers a recommendation, then provides reasons for that recommendation.
D. It describes two locations, then explains why only one is considered a city.</t>
        </is>
      </c>
      <c r="G9" s="14" t="n"/>
      <c r="H9" s="7">
        <f>IF(ISBLANK(G9), "⏳ Chờ đáp án", IF(UPPER(TRIM(G9))="B", "✅ Đúng", "❌ Sai"))</f>
        <v/>
      </c>
      <c r="I9" s="14" t="n"/>
      <c r="J9" s="7">
        <f>IF(ISBLANK(I9), "", IF(UPPER(TRIM(I9))="B", "✅ Đúng", "❌ Sai"))</f>
        <v/>
      </c>
      <c r="K9" s="14" t="n"/>
      <c r="L9" s="7">
        <f>IF(ISBLANK(K9), "", IF(UPPER(TRIM(K9))="B", "✅ Đúng", "❌ Sai"))</f>
        <v/>
      </c>
      <c r="M9" s="7">
        <f>COUNTIF(H9, "❌ Sai") + COUNTIF(J9, "❌ Sai") + COUNTIF(L9, "❌ Sai")</f>
        <v/>
      </c>
      <c r="N9" s="7">
        <f>IF(ISBLANK(G9), "⏳ Chờ làm", IF(H9="✅ Đúng", "✅ Đúng ngay L1", IF(J9="✅ Đúng", "✅ Đúng ở L2", IF(L9="✅ Đúng", "✅ Đúng ở L3", "❌ Chưa đúng sau 3 lần"))))</f>
        <v/>
      </c>
      <c r="O9" s="13">
        <f>IF(ISBLANK(F9), "💡 Nhập đáp án vào Lần thử 1", IF(G9="✅ Đúng", "✨ Xuất sắc! Bạn đã làm đúng.", "💡 Gợi ý: " &amp; "Xác định câu hỏi mở đầu và phân tích cách tác giả phát triển các quan điểm khác nhau qua từng phần của bài đọc."))</f>
        <v/>
      </c>
      <c r="P9" s="5">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Q9" s="5">
        <f>IF(OR(H9="✅ Đúng", J9="✅ Đúng", L9="✅ Đúng"), "Mô hình cấu trúc: Question -&gt; Multiple Explanations/Answers.", "🔒 Trả lời đúng để mở khóa Strategic Tip!")</f>
        <v/>
      </c>
    </row>
    <row r="10">
      <c r="A10" s="7" t="inlineStr">
        <is>
          <t>M6</t>
        </is>
      </c>
      <c r="B10" s="7" t="inlineStr">
        <is>
          <t>Reading &amp; Writing Module 1</t>
        </is>
      </c>
      <c r="C10" s="5" t="inlineStr">
        <is>
          <t>Main Purpose (Literary Narrative)</t>
        </is>
      </c>
      <c r="D10" s="5" t="inlineStr">
        <is>
          <t>Adapted from William Faulkner's 1940 novel The Hamlet...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t>
        </is>
      </c>
      <c r="E10" s="5" t="inlineStr">
        <is>
          <t>Which choice best states the main purpose of the text?</t>
        </is>
      </c>
      <c r="F10" s="5" t="inlineStr">
        <is>
          <t>A. To contrast the man's desire to attend the meeting with his awareness of risk.
B. To compare the upcoming meeting to a far more serious experience from earlier.
C. To depict the man's insistence on meeting despite the inconvenience.
D. To portray the man's anxiety about the meeting as reflected by his physical state and demeanor.</t>
        </is>
      </c>
      <c r="G10" s="14" t="n"/>
      <c r="H10" s="7">
        <f>IF(ISBLANK(G10), "⏳ Chờ đáp án", IF(UPPER(TRIM(G10))="D", "✅ Đúng", "❌ Sai"))</f>
        <v/>
      </c>
      <c r="I10" s="14" t="n"/>
      <c r="J10" s="7">
        <f>IF(ISBLANK(I10), "", IF(UPPER(TRIM(I10))="D", "✅ Đúng", "❌ Sai"))</f>
        <v/>
      </c>
      <c r="K10" s="14" t="n"/>
      <c r="L10" s="7">
        <f>IF(ISBLANK(K10), "", IF(UPPER(TRIM(K10))="D", "✅ Đúng", "❌ Sai"))</f>
        <v/>
      </c>
      <c r="M10" s="7">
        <f>COUNTIF(H10, "❌ Sai") + COUNTIF(J10, "❌ Sai") + COUNTIF(L10, "❌ Sai")</f>
        <v/>
      </c>
      <c r="N10" s="7">
        <f>IF(ISBLANK(G10), "⏳ Chờ làm", IF(H10="✅ Đúng", "✅ Đúng ngay L1", IF(J10="✅ Đúng", "✅ Đúng ở L2", IF(L10="✅ Đúng", "✅ Đúng ở L3", "❌ Chưa đúng sau 3 lần"))))</f>
        <v/>
      </c>
      <c r="O10" s="13">
        <f>IF(ISBLANK(F10), "💡 Nhập đáp án vào Lần thử 1", IF(G10="✅ Đúng", "✨ Xuất sắc! Bạn đã làm đúng.", "💡 Gợi ý: " &amp; "Tập trung vào các chi tiết miêu tả cảm xúc và hành vi của nhân vật để rút ra chủ đề chính của đoạn văn."))</f>
        <v/>
      </c>
      <c r="P10" s="5">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Q10" s="5">
        <f>IF(OR(H10="✅ Đúng", J10="✅ Đúng", L10="✅ Đúng"), "Văn xuôi hư cấu: Biểu hiện thể chất phản ánh trạng thái tâm lý nhân vật.", "🔒 Trả lời đúng để mở khóa Strategic Tip!")</f>
        <v/>
      </c>
    </row>
    <row r="11">
      <c r="A11" s="7" t="inlineStr">
        <is>
          <t>M7</t>
        </is>
      </c>
      <c r="B11" s="7" t="inlineStr">
        <is>
          <t>Reading &amp; Writing Module 1</t>
        </is>
      </c>
      <c r="C11" s="5" t="inlineStr">
        <is>
          <t>Main Purpose (Informational Text)</t>
        </is>
      </c>
      <c r="D11" s="5" t="inlineStr">
        <is>
          <t>Modern forestry offers diverse career opportunities that integrate scientific knowledge and environmental work. Arborists assess tree health and perform maintenance... Forestry technicians collect data... Forest ecologists conduct field research... With this blend of scientific understanding and practical application, forestry professionals address a variety of complex environmental challenges.</t>
        </is>
      </c>
      <c r="E11" s="5" t="inlineStr">
        <is>
          <t>Which choice best describes the main purpose of the text?</t>
        </is>
      </c>
      <c r="F11" s="5" t="inlineStr">
        <is>
          <t>A. To explain technological advances in modern forestry.
B. To analyze environmental problems facing forests.
C. To compare career security across forestry positions.
D. To highlight career opportunities in modern forestry and describe how they integrate scientific knowledge and hands-on work.</t>
        </is>
      </c>
      <c r="G11" s="14" t="n"/>
      <c r="H11" s="7">
        <f>IF(ISBLANK(G11), "⏳ Chờ đáp án", IF(UPPER(TRIM(G11))="D", "✅ Đúng", "❌ Sai"))</f>
        <v/>
      </c>
      <c r="I11" s="14" t="n"/>
      <c r="J11" s="7">
        <f>IF(ISBLANK(I11), "", IF(UPPER(TRIM(I11))="D", "✅ Đúng", "❌ Sai"))</f>
        <v/>
      </c>
      <c r="K11" s="14" t="n"/>
      <c r="L11" s="7">
        <f>IF(ISBLANK(K11), "", IF(UPPER(TRIM(K11))="D", "✅ Đúng", "❌ Sai"))</f>
        <v/>
      </c>
      <c r="M11" s="7">
        <f>COUNTIF(H11, "❌ Sai") + COUNTIF(J11, "❌ Sai") + COUNTIF(L11, "❌ Sai")</f>
        <v/>
      </c>
      <c r="N11" s="7">
        <f>IF(ISBLANK(G11), "⏳ Chờ làm", IF(H11="✅ Đúng", "✅ Đúng ngay L1", IF(J11="✅ Đúng", "✅ Đúng ở L2", IF(L11="✅ Đúng", "✅ Đúng ở L3", "❌ Chưa đúng sau 3 lần"))))</f>
        <v/>
      </c>
      <c r="O11" s="13">
        <f>IF(ISBLANK(F11), "💡 Nhập đáp án vào Lần thử 1", IF(G11="✅ Đúng", "✨ Xuất sắc! Bạn đã làm đúng.", "💡 Gợi ý: " &amp; "So sánh câu mở đầu và câu kết thúc của bài đọc để tổng hợp mục đích chung mà tác giả muốn truyền tải."))</f>
        <v/>
      </c>
      <c r="P11" s="5">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Q11" s="5">
        <f>IF(OR(H11="✅ Đúng", J11="✅ Đúng", L11="✅ Đúng"), "Main Purpose = Topic (Forestry Careers) + So What? (Integrate science and practical work).", "🔒 Trả lời đúng để mở khóa Strategic Tip!")</f>
        <v/>
      </c>
    </row>
    <row r="12">
      <c r="A12" s="7" t="inlineStr">
        <is>
          <t>M8</t>
        </is>
      </c>
      <c r="B12" s="7" t="inlineStr">
        <is>
          <t>Reading &amp; Writing Module 1</t>
        </is>
      </c>
      <c r="C12" s="5" t="inlineStr">
        <is>
          <t>Detail &amp; Literal Comprehension</t>
        </is>
      </c>
      <c r="D12" s="5" t="inlineStr">
        <is>
          <t>James Fong and his team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E12" s="5" t="inlineStr">
        <is>
          <t>According to the text, how can the color olo be seen?</t>
        </is>
      </c>
      <c r="F12" s="5" t="inlineStr">
        <is>
          <t>A. By activating only the medium cones in the retina
B. By activating the long, medium, and short cones in the retina
C. By activating both the long and short cones in the retina
D. By activating only the long cones in the retina</t>
        </is>
      </c>
      <c r="G12" s="14" t="n"/>
      <c r="H12" s="7">
        <f>IF(ISBLANK(G12), "⏳ Chờ đáp án", IF(UPPER(TRIM(G12))="A", "✅ Đúng", "❌ Sai"))</f>
        <v/>
      </c>
      <c r="I12" s="14" t="n"/>
      <c r="J12" s="7">
        <f>IF(ISBLANK(I12), "", IF(UPPER(TRIM(I12))="A", "✅ Đúng", "❌ Sai"))</f>
        <v/>
      </c>
      <c r="K12" s="14" t="n"/>
      <c r="L12" s="7">
        <f>IF(ISBLANK(K12), "", IF(UPPER(TRIM(K12))="A", "✅ Đúng", "❌ Sai"))</f>
        <v/>
      </c>
      <c r="M12" s="7">
        <f>COUNTIF(H12, "❌ Sai") + COUNTIF(J12, "❌ Sai") + COUNTIF(L12, "❌ Sai")</f>
        <v/>
      </c>
      <c r="N12" s="7">
        <f>IF(ISBLANK(G12), "⏳ Chờ làm", IF(H12="✅ Đúng", "✅ Đúng ngay L1", IF(J12="✅ Đúng", "✅ Đúng ở L2", IF(L12="✅ Đúng", "✅ Đúng ở L3", "❌ Chưa đúng sau 3 lần"))))</f>
        <v/>
      </c>
      <c r="O12" s="13">
        <f>IF(ISBLANK(F12), "💡 Nhập đáp án vào Lần thử 1", IF(G12="✅ Đúng", "✨ Xuất sắc! Bạn đã làm đúng.", "💡 Gợi ý: " &amp; "Tìm vị trí từ khóa trong bài đọc và đối chiếu chính xác thông tin được phát biểu trực tiếp."))</f>
        <v/>
      </c>
      <c r="P12" s="5">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Q12" s="5">
        <f>IF(OR(H12="✅ Đúng", J12="✅ Đúng", L12="✅ Đúng"), "Literal Comprehension: Paraphrase đúng nguyên văn bài đọc, không suy diễn.", "🔒 Trả lời đúng để mở khóa Strategic Tip!")</f>
        <v/>
      </c>
    </row>
    <row r="13">
      <c r="A13" s="7" t="inlineStr">
        <is>
          <t>M9</t>
        </is>
      </c>
      <c r="B13" s="7" t="inlineStr">
        <is>
          <t>Reading &amp; Writing Module 1</t>
        </is>
      </c>
      <c r="C13" s="5" t="inlineStr">
        <is>
          <t>Quantitative Evidence (Graph)</t>
        </is>
      </c>
      <c r="D13" s="5" t="inlineStr">
        <is>
          <t xml:space="preserve">A student is collecting data about countries with volcanoes that have been active in the time since 1800 and in the time since 1960. The student records that Ethiopia has _____ </t>
        </is>
      </c>
      <c r="E13" s="5" t="inlineStr">
        <is>
          <t>Which choice most effectively uses data from the graph to complete the statement?</t>
        </is>
      </c>
      <c r="F13" s="5" t="inlineStr">
        <is>
          <t>A. the same number of volcanoes active since 1800 as Tanzania.
B. no volcanoes active since 1800.
C. more volcanoes that have been active since 1960 than Tanzania has.
D. fewer volcanoes that have been active since 1960 than Tanzania has.</t>
        </is>
      </c>
      <c r="G13" s="14" t="n"/>
      <c r="H13" s="7">
        <f>IF(ISBLANK(G13), "⏳ Chờ đáp án", IF(UPPER(TRIM(G13))="C", "✅ Đúng", "❌ Sai"))</f>
        <v/>
      </c>
      <c r="I13" s="14" t="n"/>
      <c r="J13" s="7">
        <f>IF(ISBLANK(I13), "", IF(UPPER(TRIM(I13))="C", "✅ Đúng", "❌ Sai"))</f>
        <v/>
      </c>
      <c r="K13" s="14" t="n"/>
      <c r="L13" s="7">
        <f>IF(ISBLANK(K13), "", IF(UPPER(TRIM(K13))="C", "✅ Đúng", "❌ Sai"))</f>
        <v/>
      </c>
      <c r="M13" s="7">
        <f>COUNTIF(H13, "❌ Sai") + COUNTIF(J13, "❌ Sai") + COUNTIF(L13, "❌ Sai")</f>
        <v/>
      </c>
      <c r="N13" s="7">
        <f>IF(ISBLANK(G13), "⏳ Chờ làm", IF(H13="✅ Đúng", "✅ Đúng ngay L1", IF(J13="✅ Đúng", "✅ Đúng ở L2", IF(L13="✅ Đúng", "✅ Đúng ở L3", "❌ Chưa đúng sau 3 lần"))))</f>
        <v/>
      </c>
      <c r="O13" s="13">
        <f>IF(ISBLANK(F13), "💡 Nhập đáp án vào Lần thử 1", IF(G13="✅ Đúng", "✨ Xuất sắc! Bạn đã làm đúng.", "💡 Gợi ý: " &amp; "Quan sát các trục của biểu đồ và so sánh giá trị số liệu giữa hai đối tượng được hỏi."))</f>
        <v/>
      </c>
      <c r="P13" s="5">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Q13" s="5">
        <f>IF(OR(H13="✅ Đúng", J13="✅ Đúng", L13="✅ Đúng"), "Đọc chính xác cột chú giải và số liệu tương ứng của hai quốc gia.", "🔒 Trả lời đúng để mở khóa Strategic Tip!")</f>
        <v/>
      </c>
    </row>
    <row r="14">
      <c r="A14" s="7" t="inlineStr">
        <is>
          <t>M10</t>
        </is>
      </c>
      <c r="B14" s="7" t="inlineStr">
        <is>
          <t>Reading &amp; Writing Module 1</t>
        </is>
      </c>
      <c r="C14" s="5" t="inlineStr">
        <is>
          <t>Command of Evidence (Quotation)</t>
        </is>
      </c>
      <c r="D14" s="5" t="inlineStr">
        <is>
          <t>Editor Jared Shurin's 2023 anthology The Big Book of Cyberpunk... Shurin defines cyberpunk as a subgenre concerning 'the influence of technology on human affairs'; however, some critics assert that cyberpunk is a literary movement that is in large part aesthetic rather than idea driven.</t>
        </is>
      </c>
      <c r="E14" s="5" t="inlineStr">
        <is>
          <t>Which quotation from a literary critic would be the most effective evidence in support of the underlined claim?</t>
        </is>
      </c>
      <c r="F14" s="5" t="inlineStr">
        <is>
          <t>A. 'Not all the stories anthologized in The Big Book of Cyberpunk were first published in journals...'
B. 'The stories in The Big Book of Cyberpunk share a number of common themes...'
C. 'Shurin's characterization of cyberpunk is remarkably generous...'
D. 'A key component of cyberpunk that differentiates it from other subgenres of science fiction is an affection for the totems of 1980s pop culture, such as the mirrored sunglasses that were then popular.'</t>
        </is>
      </c>
      <c r="G14" s="14" t="n"/>
      <c r="H14" s="7">
        <f>IF(ISBLANK(G14), "⏳ Chờ đáp án", IF(UPPER(TRIM(G14))="D", "✅ Đúng", "❌ Sai"))</f>
        <v/>
      </c>
      <c r="I14" s="14" t="n"/>
      <c r="J14" s="7">
        <f>IF(ISBLANK(I14), "", IF(UPPER(TRIM(I14))="D", "✅ Đúng", "❌ Sai"))</f>
        <v/>
      </c>
      <c r="K14" s="14" t="n"/>
      <c r="L14" s="7">
        <f>IF(ISBLANK(K14), "", IF(UPPER(TRIM(K14))="D", "✅ Đúng", "❌ Sai"))</f>
        <v/>
      </c>
      <c r="M14" s="7">
        <f>COUNTIF(H14, "❌ Sai") + COUNTIF(J14, "❌ Sai") + COUNTIF(L14, "❌ Sai")</f>
        <v/>
      </c>
      <c r="N14" s="7">
        <f>IF(ISBLANK(G14), "⏳ Chờ làm", IF(H14="✅ Đúng", "✅ Đúng ngay L1", IF(J14="✅ Đúng", "✅ Đúng ở L2", IF(L14="✅ Đúng", "✅ Đúng ở L3", "❌ Chưa đúng sau 3 lần"))))</f>
        <v/>
      </c>
      <c r="O14" s="13">
        <f>IF(ISBLANK(F14), "💡 Nhập đáp án vào Lần thử 1", IF(G14="✅ Đúng", "✨ Xuất sắc! Bạn đã làm đúng.", "💡 Gợi ý: " &amp; "Tìm trích dẫn chứa các từ khóa liên quan trực tiếp đến khía cạnh thẩm mỹ hoặc phong cách được nêu trong câu hỏi."))</f>
        <v/>
      </c>
      <c r="P14" s="5">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Q14" s="5">
        <f>IF(OR(H14="✅ Đúng", J14="✅ Đúng", L14="✅ Đúng"), "Bằng chứng hỗ trợ phải trực tiếp chứng minh tính chất 'aesthetic' (thẩm mỹ).", "🔒 Trả lời đúng để mở khóa Strategic Tip!")</f>
        <v/>
      </c>
    </row>
    <row r="15">
      <c r="A15" s="7" t="inlineStr">
        <is>
          <t>M11</t>
        </is>
      </c>
      <c r="B15" s="7" t="inlineStr">
        <is>
          <t>Reading &amp; Writing Module 1</t>
        </is>
      </c>
      <c r="C15" s="5" t="inlineStr">
        <is>
          <t>Command of Evidence (Table Data)</t>
        </is>
      </c>
      <c r="D15" s="5" t="inlineStr">
        <is>
          <t>Employment in Tribal Economies in December 2017 and December 2023... Between end-of-year 2017 and end-of-year 2023, the percentage of tribal employees working in the public sector increased, from 34.0% to 34.6%, while the percentage working in the business sector declined from 66.0% to 65.4%.</t>
        </is>
      </c>
      <c r="E15" s="5" t="inlineStr">
        <is>
          <t>Which statement about the decline in the percentage of tribal employees working in the business sector is best supported by information in the table?</t>
        </is>
      </c>
      <c r="F15" s="5" t="inlineStr">
        <is>
          <t>A. didn't result from an overall contraction of that sector, since the total number of employees in that sector increased by several thousand during this period.
B. It was offset by changes in leisure and hospitality businesses...
C. It was driven primarily by changes in businesses classified as 'other'...
D. It resulted from widespread workforce redistributions...</t>
        </is>
      </c>
      <c r="G15" s="14" t="n"/>
      <c r="H15" s="7">
        <f>IF(ISBLANK(G15), "⏳ Chờ đáp án", IF(UPPER(TRIM(G15))="A", "✅ Đúng", "❌ Sai"))</f>
        <v/>
      </c>
      <c r="I15" s="14" t="n"/>
      <c r="J15" s="7">
        <f>IF(ISBLANK(I15), "", IF(UPPER(TRIM(I15))="A", "✅ Đúng", "❌ Sai"))</f>
        <v/>
      </c>
      <c r="K15" s="14" t="n"/>
      <c r="L15" s="7">
        <f>IF(ISBLANK(K15), "", IF(UPPER(TRIM(K15))="A", "✅ Đúng", "❌ Sai"))</f>
        <v/>
      </c>
      <c r="M15" s="7">
        <f>COUNTIF(H15, "❌ Sai") + COUNTIF(J15, "❌ Sai") + COUNTIF(L15, "❌ Sai")</f>
        <v/>
      </c>
      <c r="N15" s="7">
        <f>IF(ISBLANK(G15), "⏳ Chờ làm", IF(H15="✅ Đúng", "✅ Đúng ngay L1", IF(J15="✅ Đúng", "✅ Đúng ở L2", IF(L15="✅ Đúng", "✅ Đúng ở L3", "❌ Chưa đúng sau 3 lần"))))</f>
        <v/>
      </c>
      <c r="O15" s="13">
        <f>IF(ISBLANK(F15), "💡 Nhập đáp án vào Lần thử 1", IF(G15="✅ Đúng", "✨ Xuất sắc! Bạn đã làm đúng.", "💡 Gợi ý: " &amp; "Đọc kỹ số liệu trong bảng ở các hàng/cột tương ứng với thời gian và ngành nghề được đề cập."))</f>
        <v/>
      </c>
      <c r="P15" s="5">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Q15" s="5">
        <f>IF(OR(H15="✅ Đúng", J15="✅ Đúng", L15="✅ Đúng"), "Tỷ lệ % giảm không có nghĩa là số lượng tuyệt đối giảm nếu tổng quy mô tăng.", "🔒 Trả lời đúng để mở khóa Strategic Tip!")</f>
        <v/>
      </c>
    </row>
    <row r="16">
      <c r="A16" s="7" t="inlineStr">
        <is>
          <t>M12</t>
        </is>
      </c>
      <c r="B16" s="7" t="inlineStr">
        <is>
          <t>Reading &amp; Writing Module 1</t>
        </is>
      </c>
      <c r="C16" s="5" t="inlineStr">
        <is>
          <t>Command of Evidence (Chart Interpretation)</t>
        </is>
      </c>
      <c r="D16" s="5" t="inlineStr">
        <is>
          <t>Tax Penalties Assessed on Private Foundations That Filed Form 4720, by Reason, 2003-2005... Out of the organizations that filed Form 990-PF in the years 2003-2005...</t>
        </is>
      </c>
      <c r="E16" s="5" t="inlineStr">
        <is>
          <t>Which choice most effectively uses data from the graph to complete the assertion?</t>
        </is>
      </c>
      <c r="F16" s="5" t="inlineStr">
        <is>
          <t>A. those that filed Form 4720 because they had excess holdings paid a larger penalty...
B. those that filed Form 4720 because they engaged in self-dealing...
C. those that filed Form 4720 in 2003 because they failed to meet the minimum requirement collectively paid a larger percentage of the total penalty assessed that year than those that filed Form 4720 in 2005 for the same reason.
D. those that filed Form 4720 in 2005 because...</t>
        </is>
      </c>
      <c r="G16" s="14" t="n"/>
      <c r="H16" s="7">
        <f>IF(ISBLANK(G16), "⏳ Chờ đáp án", IF(UPPER(TRIM(G16))="C", "✅ Đúng", "❌ Sai"))</f>
        <v/>
      </c>
      <c r="I16" s="14" t="n"/>
      <c r="J16" s="7">
        <f>IF(ISBLANK(I16), "", IF(UPPER(TRIM(I16))="C", "✅ Đúng", "❌ Sai"))</f>
        <v/>
      </c>
      <c r="K16" s="14" t="n"/>
      <c r="L16" s="7">
        <f>IF(ISBLANK(K16), "", IF(UPPER(TRIM(K16))="C", "✅ Đúng", "❌ Sai"))</f>
        <v/>
      </c>
      <c r="M16" s="7">
        <f>COUNTIF(H16, "❌ Sai") + COUNTIF(J16, "❌ Sai") + COUNTIF(L16, "❌ Sai")</f>
        <v/>
      </c>
      <c r="N16" s="7">
        <f>IF(ISBLANK(G16), "⏳ Chờ làm", IF(H16="✅ Đúng", "✅ Đúng ngay L1", IF(J16="✅ Đúng", "✅ Đúng ở L2", IF(L16="✅ Đúng", "✅ Đúng ở L3", "❌ Chưa đúng sau 3 lần"))))</f>
        <v/>
      </c>
      <c r="O16" s="13">
        <f>IF(ISBLANK(F16), "💡 Nhập đáp án vào Lần thử 1", IF(G16="✅ Đúng", "✨ Xuất sắc! Bạn đã làm đúng.", "💡 Gợi ý: " &amp; "So sánh tỉ lệ hoặc giá trị giữa các năm được biểu diễn trên đồ thị để xác định xu hướng chính."))</f>
        <v/>
      </c>
      <c r="P16" s="5">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Q16" s="5">
        <f>IF(OR(H16="✅ Đúng", J16="✅ Đúng", L16="✅ Đúng"), "Đọc đúng cột năm (2003 vs 2005) và nhóm lý do bị phạt.", "🔒 Trả lời đúng để mở khóa Strategic Tip!")</f>
        <v/>
      </c>
    </row>
    <row r="17">
      <c r="A17" s="7" t="inlineStr">
        <is>
          <t>M13</t>
        </is>
      </c>
      <c r="B17" s="7" t="inlineStr">
        <is>
          <t>Reading &amp; Writing Module 1</t>
        </is>
      </c>
      <c r="C17" s="5" t="inlineStr">
        <is>
          <t>Command of Evidence (Literary Text)</t>
        </is>
      </c>
      <c r="D17" s="5" t="inlineStr">
        <is>
          <t>Philoctetes is a play by Sophocles... Odysseus suggests that the plan for returning with Philoctetes rests on Neoptolemus not having been part of the group that abandoned him:</t>
        </is>
      </c>
      <c r="E17" s="5" t="inlineStr">
        <is>
          <t>Which quotation from Philoctetes most effectively illustrates the claim?</t>
        </is>
      </c>
      <c r="F17" s="5" t="inlineStr">
        <is>
          <t>A. 'Since the prize of victory is so dear, / Endure it...'
B. 'Go near now silently, and make me know...'
C. 'Now let me show, why thine approach to him / Is safe and trustful as mine cannot be / Thou didst sail forth, not to redeem thine oath, / Nor by constraint, nor with the foremost band.'
D. 'No moment for this talk, / Lest he discern my coming...'</t>
        </is>
      </c>
      <c r="G17" s="14" t="n"/>
      <c r="H17" s="7">
        <f>IF(ISBLANK(G17), "⏳ Chờ đáp án", IF(UPPER(TRIM(G17))="C", "✅ Đúng", "❌ Sai"))</f>
        <v/>
      </c>
      <c r="I17" s="14" t="n"/>
      <c r="J17" s="7">
        <f>IF(ISBLANK(I17), "", IF(UPPER(TRIM(I17))="C", "✅ Đúng", "❌ Sai"))</f>
        <v/>
      </c>
      <c r="K17" s="14" t="n"/>
      <c r="L17" s="7">
        <f>IF(ISBLANK(K17), "", IF(UPPER(TRIM(K17))="C", "✅ Đúng", "❌ Sai"))</f>
        <v/>
      </c>
      <c r="M17" s="7">
        <f>COUNTIF(H17, "❌ Sai") + COUNTIF(J17, "❌ Sai") + COUNTIF(L17, "❌ Sai")</f>
        <v/>
      </c>
      <c r="N17" s="7">
        <f>IF(ISBLANK(G17), "⏳ Chờ làm", IF(H17="✅ Đúng", "✅ Đúng ngay L1", IF(J17="✅ Đúng", "✅ Đúng ở L2", IF(L17="✅ Đúng", "✅ Đúng ở L3", "❌ Chưa đúng sau 3 lần"))))</f>
        <v/>
      </c>
      <c r="O17" s="13">
        <f>IF(ISBLANK(F17), "💡 Nhập đáp án vào Lần thử 1", IF(G17="✅ Đúng", "✨ Xuất sắc! Bạn đã làm đúng.", "💡 Gợi ý: " &amp; "Tìm trích dẫn giải thích nguyên nhân hoặc động cơ dẫn đến sự tin tưởng của nhân vật."))</f>
        <v/>
      </c>
      <c r="P17" s="5">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Q17" s="5">
        <f>IF(OR(H17="✅ Đúng", J17="✅ Đúng", L17="✅ Đúng"), "Chọn câu thoại thể hiện rõ luận điểm Neoptolemus không thuộc nhóm cũ.", "🔒 Trả lời đúng để mở khóa Strategic Tip!")</f>
        <v/>
      </c>
    </row>
    <row r="18">
      <c r="A18" s="7" t="inlineStr">
        <is>
          <t>M14</t>
        </is>
      </c>
      <c r="B18" s="7" t="inlineStr">
        <is>
          <t>Reading &amp; Writing Module 1</t>
        </is>
      </c>
      <c r="C18" s="5" t="inlineStr">
        <is>
          <t>Text Completion / Logical Inference</t>
        </is>
      </c>
      <c r="D18" s="5" t="inlineStr">
        <is>
          <t xml:space="preserve">Louis-Ferdinand Céline's 1932 novel Journey to the End of the Night is regularly described as autobiographical. That characterization is apt... Much of the novel is pure invention, and readers who overlook this fact and instead focus excessively on correspondences between the novel and Céline's life can thus _____ </t>
        </is>
      </c>
      <c r="E18" s="5" t="inlineStr">
        <is>
          <t>Which choice most logically completes the text?</t>
        </is>
      </c>
      <c r="F18" s="5" t="inlineStr">
        <is>
          <t>A. fail to appreciate how much creativity Céline shows in the book.
B. overemphasize the extent to which Céline took inspiration from earlier writers.
C. refuse to acknowledge that Céline drew on real-world material...
D. misrepresent Journey to the End of the Night as being more widely read than it actually was.</t>
        </is>
      </c>
      <c r="G18" s="14" t="n"/>
      <c r="H18" s="7">
        <f>IF(ISBLANK(G18), "⏳ Chờ đáp án", IF(UPPER(TRIM(G18))="A", "✅ Đúng", "❌ Sai"))</f>
        <v/>
      </c>
      <c r="I18" s="14" t="n"/>
      <c r="J18" s="7">
        <f>IF(ISBLANK(I18), "", IF(UPPER(TRIM(I18))="A", "✅ Đúng", "❌ Sai"))</f>
        <v/>
      </c>
      <c r="K18" s="14" t="n"/>
      <c r="L18" s="7">
        <f>IF(ISBLANK(K18), "", IF(UPPER(TRIM(K18))="A", "✅ Đúng", "❌ Sai"))</f>
        <v/>
      </c>
      <c r="M18" s="7">
        <f>COUNTIF(H18, "❌ Sai") + COUNTIF(J18, "❌ Sai") + COUNTIF(L18, "❌ Sai")</f>
        <v/>
      </c>
      <c r="N18" s="7">
        <f>IF(ISBLANK(G18), "⏳ Chờ làm", IF(H18="✅ Đúng", "✅ Đúng ngay L1", IF(J18="✅ Đúng", "✅ Đúng ở L2", IF(L18="✅ Đúng", "✅ Đúng ở L3", "❌ Chưa đúng sau 3 lần"))))</f>
        <v/>
      </c>
      <c r="O18" s="13">
        <f>IF(ISBLANK(F18), "💡 Nhập đáp án vào Lần thử 1", IF(G18="✅ Đúng", "✨ Xuất sắc! Bạn đã làm đúng.", "💡 Gợi ý: " &amp; "Xác định mối quan hệ nguyên nhân - kết quả giữa hai khía cạnh được thảo luận trong bài."))</f>
        <v/>
      </c>
      <c r="P18" s="5">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Q18" s="5">
        <f>IF(OR(H18="✅ Đúng", J18="✅ Đúng", L18="✅ Đúng"), "Suy luận logic: Xem nhẹ 'pure invention' -&gt; Bỏ qua tính sáng tạo (creativity).", "🔒 Trả lời đúng để mở khóa Strategic Tip!")</f>
        <v/>
      </c>
    </row>
    <row r="19">
      <c r="A19" s="7" t="inlineStr">
        <is>
          <t>M15</t>
        </is>
      </c>
      <c r="B19" s="7" t="inlineStr">
        <is>
          <t>Reading &amp; Writing Module 1</t>
        </is>
      </c>
      <c r="C19" s="5" t="inlineStr">
        <is>
          <t>Text Completion / Inference</t>
        </is>
      </c>
      <c r="D19" s="5" t="inlineStr">
        <is>
          <t xml:space="preserve">Last-mile delivery... is subject to increasing pressure... One advance is the use of self-service lockers. This approach, while convenient, introduces new obstacles (e.g., placement is challenging). It is therefore likely that _____ </t>
        </is>
      </c>
      <c r="E19" s="5" t="inlineStr">
        <is>
          <t>Which choice most logically completes the text?</t>
        </is>
      </c>
      <c r="F19" s="5" t="inlineStr">
        <is>
          <t>A. delivery companies will need to keep experimenting with new ideas for last-mile delivery if they hope to keep pace with consumers' expectations.
B. delivery companies will continue promising next-day delivery...
C. advances in last-mile technologies will slow...
D. innovations in the use of self-service lockers will stall...</t>
        </is>
      </c>
      <c r="G19" s="14" t="n"/>
      <c r="H19" s="7">
        <f>IF(ISBLANK(G19), "⏳ Chờ đáp án", IF(UPPER(TRIM(G19))="A", "✅ Đúng", "❌ Sai"))</f>
        <v/>
      </c>
      <c r="I19" s="14" t="n"/>
      <c r="J19" s="7">
        <f>IF(ISBLANK(I19), "", IF(UPPER(TRIM(I19))="A", "✅ Đúng", "❌ Sai"))</f>
        <v/>
      </c>
      <c r="K19" s="14" t="n"/>
      <c r="L19" s="7">
        <f>IF(ISBLANK(K19), "", IF(UPPER(TRIM(K19))="A", "✅ Đúng", "❌ Sai"))</f>
        <v/>
      </c>
      <c r="M19" s="7">
        <f>COUNTIF(H19, "❌ Sai") + COUNTIF(J19, "❌ Sai") + COUNTIF(L19, "❌ Sai")</f>
        <v/>
      </c>
      <c r="N19" s="7">
        <f>IF(ISBLANK(G19), "⏳ Chờ làm", IF(H19="✅ Đúng", "✅ Đúng ngay L1", IF(J19="✅ Đúng", "✅ Đúng ở L2", IF(L19="✅ Đúng", "✅ Đúng ở L3", "❌ Chưa đúng sau 3 lần"))))</f>
        <v/>
      </c>
      <c r="O19" s="13">
        <f>IF(ISBLANK(F19), "💡 Nhập đáp án vào Lần thử 1", IF(G19="✅ Đúng", "✨ Xuất sắc! Bạn đã làm đúng.", "💡 Gợi ý: " &amp; "Phân tích lập luận của tác giả và chọn câu kết luận nối tiếp hợp lý với dữ kiện đã cho."))</f>
        <v/>
      </c>
      <c r="P19" s="5">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Q19" s="5">
        <f>IF(OR(H19="✅ Đúng", J19="✅ Đúng", L19="✅ Đúng"), "Kết luận hợp lý: Giải pháp hiện tại gặp thách thức -&gt; Cần tiếp tục thử nghiệm ý tưởng mới.", "🔒 Trả lời đúng để mở khóa Strategic Tip!")</f>
        <v/>
      </c>
    </row>
    <row r="20">
      <c r="A20" s="7" t="inlineStr">
        <is>
          <t>M16</t>
        </is>
      </c>
      <c r="B20" s="7" t="inlineStr">
        <is>
          <t>Reading &amp; Writing Module 1</t>
        </is>
      </c>
      <c r="C20" s="5" t="inlineStr">
        <is>
          <t>Standard English Conventions (Relative Clauses)</t>
        </is>
      </c>
      <c r="D20" s="5" t="inlineStr">
        <is>
          <t>With an average summer temperature of 82.5 degrees Fahrenheit, Nicosia is one European _____ travelers recommend, especially from June to September.</t>
        </is>
      </c>
      <c r="E20" s="5" t="inlineStr">
        <is>
          <t>Which choice completes the text so that it conforms to the conventions of Standard English?</t>
        </is>
      </c>
      <c r="F20" s="5" t="inlineStr">
        <is>
          <t>A. city, which
B. city in which
C. city that
D. city, that</t>
        </is>
      </c>
      <c r="G20" s="14" t="n"/>
      <c r="H20" s="7">
        <f>IF(ISBLANK(G20), "⏳ Chờ đáp án", IF(UPPER(TRIM(G20))="C", "✅ Đúng", "❌ Sai"))</f>
        <v/>
      </c>
      <c r="I20" s="14" t="n"/>
      <c r="J20" s="7">
        <f>IF(ISBLANK(I20), "", IF(UPPER(TRIM(I20))="C", "✅ Đúng", "❌ Sai"))</f>
        <v/>
      </c>
      <c r="K20" s="14" t="n"/>
      <c r="L20" s="7">
        <f>IF(ISBLANK(K20), "", IF(UPPER(TRIM(K20))="C", "✅ Đúng", "❌ Sai"))</f>
        <v/>
      </c>
      <c r="M20" s="7">
        <f>COUNTIF(H20, "❌ Sai") + COUNTIF(J20, "❌ Sai") + COUNTIF(L20, "❌ Sai")</f>
        <v/>
      </c>
      <c r="N20" s="7">
        <f>IF(ISBLANK(G20), "⏳ Chờ làm", IF(H20="✅ Đúng", "✅ Đúng ngay L1", IF(J20="✅ Đúng", "✅ Đúng ở L2", IF(L20="✅ Đúng", "✅ Đúng ở L3", "❌ Chưa đúng sau 3 lần"))))</f>
        <v/>
      </c>
      <c r="O20" s="13">
        <f>IF(ISBLANK(F20), "💡 Nhập đáp án vào Lần thử 1", IF(G20="✅ Đúng", "✨ Xuất sắc! Bạn đã làm đúng.", "💡 Gợi ý: " &amp; "Xác định mệnh đề phụ thuộc và chọn đại từ quan hệ phù hợp với danh từ chỉ người/vật đứng trước."))</f>
        <v/>
      </c>
      <c r="P20" s="5">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Q20" s="5">
        <f>IF(OR(H20="✅ Đúng", J20="✅ Đúng", L20="✅ Đúng"), "Dùng 'that' không dấu phẩy cho mệnh đề quan hệ giới hạn.", "🔒 Trả lời đúng để mở khóa Strategic Tip!")</f>
        <v/>
      </c>
    </row>
    <row r="21" ht="15.75" customHeight="1" s="19">
      <c r="A21" s="7" t="inlineStr">
        <is>
          <t>M17</t>
        </is>
      </c>
      <c r="B21" s="7" t="inlineStr">
        <is>
          <t>Reading &amp; Writing Module 1</t>
        </is>
      </c>
      <c r="C21" s="5" t="inlineStr">
        <is>
          <t>Standard English Conventions (Verb Tense &amp; Progress)</t>
        </is>
      </c>
      <c r="D21" s="5" t="inlineStr">
        <is>
          <t>Nanoengineers have developed synthesized mesoporous silica nanoparticles... As nanotechnology evolves, medical technology _____ to evolve as well.</t>
        </is>
      </c>
      <c r="E21" s="5" t="inlineStr">
        <is>
          <t>Which choice completes the text so that it conforms to the conventions of Standard English?</t>
        </is>
      </c>
      <c r="F21" s="5" t="inlineStr">
        <is>
          <t>A. had likely continued
B. would likely have continued
C. had likely been continuing
D. will likely continue</t>
        </is>
      </c>
      <c r="G21" s="14" t="n"/>
      <c r="H21" s="7">
        <f>IF(ISBLANK(G21), "⏳ Chờ đáp án", IF(UPPER(TRIM(G21))="D", "✅ Đúng", "❌ Sai"))</f>
        <v/>
      </c>
      <c r="I21" s="14" t="n"/>
      <c r="J21" s="7">
        <f>IF(ISBLANK(I21), "", IF(UPPER(TRIM(I21))="D", "✅ Đúng", "❌ Sai"))</f>
        <v/>
      </c>
      <c r="K21" s="14" t="n"/>
      <c r="L21" s="7">
        <f>IF(ISBLANK(K21), "", IF(UPPER(TRIM(K21))="D", "✅ Đúng", "❌ Sai"))</f>
        <v/>
      </c>
      <c r="M21" s="7">
        <f>COUNTIF(H21, "❌ Sai") + COUNTIF(J21, "❌ Sai") + COUNTIF(L21, "❌ Sai")</f>
        <v/>
      </c>
      <c r="N21" s="7">
        <f>IF(ISBLANK(G21), "⏳ Chờ làm", IF(H21="✅ Đúng", "✅ Đúng ngay L1", IF(J21="✅ Đúng", "✅ Đúng ở L2", IF(L21="✅ Đúng", "✅ Đúng ở L3", "❌ Chưa đúng sau 3 lần"))))</f>
        <v/>
      </c>
      <c r="O21" s="13">
        <f>IF(ISBLANK(F21), "💡 Nhập đáp án vào Lần thử 1", IF(G21="✅ Đúng", "✨ Xuất sắc! Bạn đã làm đúng.", "💡 Gợi ý: " &amp; "Xác định mốc thời gian trong câu và đảm bảo thì của động từ đồng bộ với các động từ khác."))</f>
        <v/>
      </c>
      <c r="P21" s="5">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Q21" s="5">
        <f>IF(OR(H21="✅ Đúng", J21="✅ Đúng", L21="✅ Đúng"), "Sự tương thích thì: As [Present], [Future].", "🔒 Trả lời đúng để mở khóa Strategic Tip!")</f>
        <v/>
      </c>
    </row>
    <row r="22" ht="15.75" customHeight="1" s="19">
      <c r="A22" s="7" t="inlineStr">
        <is>
          <t>M18</t>
        </is>
      </c>
      <c r="B22" s="7" t="inlineStr">
        <is>
          <t>Reading &amp; Writing Module 1</t>
        </is>
      </c>
      <c r="C22" s="5" t="inlineStr">
        <is>
          <t>Standard English Conventions (Punctuation / Dashes)</t>
        </is>
      </c>
      <c r="D22" s="5" t="inlineStr">
        <is>
          <t>To more easily balance the weight of her body on her toes... Anna Pavlova redesigned her pointe shoes. The modifications she made—adding a stiffened leather sole and hardened toe _____ began the modernization of ballet's iconic footwear.</t>
        </is>
      </c>
      <c r="E22" s="5" t="inlineStr">
        <is>
          <t>Which choice completes the text so that it conforms to the conventions of Standard English?</t>
        </is>
      </c>
      <c r="F22" s="5" t="inlineStr">
        <is>
          <t>A. box
B. box—
C. box,
D. box:</t>
        </is>
      </c>
      <c r="G22" s="14" t="n"/>
      <c r="H22" s="7">
        <f>IF(ISBLANK(G22), "⏳ Chờ đáp án", IF(UPPER(TRIM(G22))="B", "✅ Đúng", "❌ Sai"))</f>
        <v/>
      </c>
      <c r="I22" s="14" t="n"/>
      <c r="J22" s="7">
        <f>IF(ISBLANK(I22), "", IF(UPPER(TRIM(I22))="B", "✅ Đúng", "❌ Sai"))</f>
        <v/>
      </c>
      <c r="K22" s="14" t="n"/>
      <c r="L22" s="7">
        <f>IF(ISBLANK(K22), "", IF(UPPER(TRIM(K22))="B", "✅ Đúng", "❌ Sai"))</f>
        <v/>
      </c>
      <c r="M22" s="7">
        <f>COUNTIF(H22, "❌ Sai") + COUNTIF(J22, "❌ Sai") + COUNTIF(L22, "❌ Sai")</f>
        <v/>
      </c>
      <c r="N22" s="7">
        <f>IF(ISBLANK(G22), "⏳ Chờ làm", IF(H22="✅ Đúng", "✅ Đúng ngay L1", IF(J22="✅ Đúng", "✅ Đúng ở L2", IF(L22="✅ Đúng", "✅ Đúng ở L3", "❌ Chưa đúng sau 3 lần"))))</f>
        <v/>
      </c>
      <c r="O22" s="13">
        <f>IF(ISBLANK(F22), "💡 Nhập đáp án vào Lần thử 1", IF(G22="✅ Đúng", "✨ Xuất sắc! Bạn đã làm đúng.", "💡 Gợi ý: " &amp; "Xác định thành phần bổ sung không thiết yếu (non-essential clause) để dùng cặp dấu phân cách tương ứng."))</f>
        <v/>
      </c>
      <c r="P22" s="5">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Q22" s="5">
        <f>IF(OR(H22="✅ Đúng", J22="✅ Đúng", L22="✅ Đúng"), "Dấu gạch ngang đi theo cặp: — [thông tin bổ sung] —.", "🔒 Trả lời đúng để mở khóa Strategic Tip!")</f>
        <v/>
      </c>
    </row>
    <row r="23" ht="15.75" customHeight="1" s="19">
      <c r="A23" s="7" t="inlineStr">
        <is>
          <t>M19</t>
        </is>
      </c>
      <c r="B23" s="7" t="inlineStr">
        <is>
          <t>Reading &amp; Writing Module 1</t>
        </is>
      </c>
      <c r="C23" s="5" t="inlineStr">
        <is>
          <t>Standard English Conventions (Colons)</t>
        </is>
      </c>
      <c r="D23" s="5" t="inlineStr">
        <is>
          <t>The purpose of these ancient games was _____ provide entertainment during leisure time, to reflect cultural beliefs, and to develop strategic thinking skills among players.</t>
        </is>
      </c>
      <c r="E23" s="5" t="inlineStr">
        <is>
          <t>Which choice completes the text so that it conforms to the conventions of Standard English?</t>
        </is>
      </c>
      <c r="F23" s="5" t="inlineStr">
        <is>
          <t>A. threefold. To
B. threefold: to
C. threefold; to
D. threefold to</t>
        </is>
      </c>
      <c r="G23" s="14" t="n"/>
      <c r="H23" s="7">
        <f>IF(ISBLANK(G23), "⏳ Chờ đáp án", IF(UPPER(TRIM(G23))="B", "✅ Đúng", "❌ Sai"))</f>
        <v/>
      </c>
      <c r="I23" s="14" t="n"/>
      <c r="J23" s="7">
        <f>IF(ISBLANK(I23), "", IF(UPPER(TRIM(I23))="B", "✅ Đúng", "❌ Sai"))</f>
        <v/>
      </c>
      <c r="K23" s="14" t="n"/>
      <c r="L23" s="7">
        <f>IF(ISBLANK(K23), "", IF(UPPER(TRIM(K23))="B", "✅ Đúng", "❌ Sai"))</f>
        <v/>
      </c>
      <c r="M23" s="7">
        <f>COUNTIF(H23, "❌ Sai") + COUNTIF(J23, "❌ Sai") + COUNTIF(L23, "❌ Sai")</f>
        <v/>
      </c>
      <c r="N23" s="7">
        <f>IF(ISBLANK(G23), "⏳ Chờ làm", IF(H23="✅ Đúng", "✅ Đúng ngay L1", IF(J23="✅ Đúng", "✅ Đúng ở L2", IF(L23="✅ Đúng", "✅ Đúng ở L3", "❌ Chưa đúng sau 3 lần"))))</f>
        <v/>
      </c>
      <c r="O23" s="13">
        <f>IF(ISBLANK(F23), "💡 Nhập đáp án vào Lần thử 1", IF(G23="✅ Đúng", "✨ Xuất sắc! Bạn đã làm đúng.", "💡 Gợi ý: " &amp; "Kiểm tra xem vế trước chỗ trống có phải là một mệnh đề độc lập hoàn chỉnh hay không trước khi dùng dấu hai chấm."))</f>
        <v/>
      </c>
      <c r="P23" s="5">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Q23" s="5">
        <f>IF(OR(H23="✅ Đúng", J23="✅ Đúng", L23="✅ Đúng"), "Dấu hai chấm (:) báo hiệu danh sách giải thích phía sau.", "🔒 Trả lời đúng để mở khóa Strategic Tip!")</f>
        <v/>
      </c>
    </row>
    <row r="24" ht="15.75" customHeight="1" s="19">
      <c r="A24" s="7" t="inlineStr">
        <is>
          <t>M20</t>
        </is>
      </c>
      <c r="B24" s="7" t="inlineStr">
        <is>
          <t>Reading &amp; Writing Module 1</t>
        </is>
      </c>
      <c r="C24" s="5" t="inlineStr">
        <is>
          <t>Standard English Conventions (Semicolons &amp; Colons)</t>
        </is>
      </c>
      <c r="D24" s="5" t="inlineStr">
        <is>
          <t>Extensive radiocarbon dating of reed samples from Caral confirmed Ruth Shady Solis's hypothesis about the Peruvian site's _____ nearly 5,000 years ago, the ancient city preceded the Olmec civilization to the north by a full millennium...</t>
        </is>
      </c>
      <c r="E24" s="5" t="inlineStr">
        <is>
          <t>Which choice completes the text so that it conforms to the conventions of Standard English?</t>
        </is>
      </c>
      <c r="F24" s="5" t="inlineStr">
        <is>
          <t>A. age, built
B. age: built
C. age and built
D. age built</t>
        </is>
      </c>
      <c r="G24" s="14" t="n"/>
      <c r="H24" s="7">
        <f>IF(ISBLANK(G24), "⏳ Chờ đáp án", IF(UPPER(TRIM(G24))="B", "✅ Đúng", "❌ Sai"))</f>
        <v/>
      </c>
      <c r="I24" s="14" t="n"/>
      <c r="J24" s="7">
        <f>IF(ISBLANK(I24), "", IF(UPPER(TRIM(I24))="B", "✅ Đúng", "❌ Sai"))</f>
        <v/>
      </c>
      <c r="K24" s="14" t="n"/>
      <c r="L24" s="7">
        <f>IF(ISBLANK(K24), "", IF(UPPER(TRIM(K24))="B", "✅ Đúng", "❌ Sai"))</f>
        <v/>
      </c>
      <c r="M24" s="7">
        <f>COUNTIF(H24, "❌ Sai") + COUNTIF(J24, "❌ Sai") + COUNTIF(L24, "❌ Sai")</f>
        <v/>
      </c>
      <c r="N24" s="7">
        <f>IF(ISBLANK(G24), "⏳ Chờ làm", IF(H24="✅ Đúng", "✅ Đúng ngay L1", IF(J24="✅ Đúng", "✅ Đúng ở L2", IF(L24="✅ Đúng", "✅ Đúng ở L3", "❌ Chưa đúng sau 3 lần"))))</f>
        <v/>
      </c>
      <c r="O24" s="13">
        <f>IF(ISBLANK(F24), "💡 Nhập đáp án vào Lần thử 1", IF(G24="✅ Đúng", "✨ Xuất sắc! Bạn đã làm đúng.", "💡 Gợi ý: " &amp; "Phân tích mối quan hệ giữa hai mệnh đề độc lập để chọn dấu nối phù hợp (dấu chấm phẩy hoặc dấu chấm)."))</f>
        <v/>
      </c>
      <c r="P24" s="5">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Q24" s="5">
        <f>IF(OR(H24="✅ Đúng", J24="✅ Đúng", L24="✅ Đúng"), "Dấu hai chấm nối 2 mệnh đề độc lập khi mệnh đề 2 giải thích cho mệnh đề 1.", "🔒 Trả lời đúng để mở khóa Strategic Tip!")</f>
        <v/>
      </c>
    </row>
    <row r="25" ht="15.75" customHeight="1" s="19">
      <c r="A25" s="7" t="inlineStr">
        <is>
          <t>M21</t>
        </is>
      </c>
      <c r="B25" s="7" t="inlineStr">
        <is>
          <t>Reading &amp; Writing Module 1</t>
        </is>
      </c>
      <c r="C25" s="5" t="inlineStr">
        <is>
          <t>Standard English Conventions (Subject-Verb Agreement)</t>
        </is>
      </c>
      <c r="D25" s="5" t="inlineStr">
        <is>
          <t>Commercial applications of this new synthetic dye technology—beginning with the purple dye called mauve, discovered by William Perkin in 1856— _____ responsible for launching what one science historian calls a 'manufacturing revolution based on chemistry.'</t>
        </is>
      </c>
      <c r="E25" s="5" t="inlineStr">
        <is>
          <t>Which choice completes the text so that it conforms to the conventions of Standard English?</t>
        </is>
      </c>
      <c r="F25" s="5" t="inlineStr">
        <is>
          <t>A. has been
B. is
C. were
D. was</t>
        </is>
      </c>
      <c r="G25" s="14" t="n"/>
      <c r="H25" s="7">
        <f>IF(ISBLANK(G25), "⏳ Chờ đáp án", IF(UPPER(TRIM(G25))="C", "✅ Đúng", "❌ Sai"))</f>
        <v/>
      </c>
      <c r="I25" s="14" t="n"/>
      <c r="J25" s="7">
        <f>IF(ISBLANK(I25), "", IF(UPPER(TRIM(I25))="C", "✅ Đúng", "❌ Sai"))</f>
        <v/>
      </c>
      <c r="K25" s="14" t="n"/>
      <c r="L25" s="7">
        <f>IF(ISBLANK(K25), "", IF(UPPER(TRIM(K25))="C", "✅ Đúng", "❌ Sai"))</f>
        <v/>
      </c>
      <c r="M25" s="7">
        <f>COUNTIF(H25, "❌ Sai") + COUNTIF(J25, "❌ Sai") + COUNTIF(L25, "❌ Sai")</f>
        <v/>
      </c>
      <c r="N25" s="7">
        <f>IF(ISBLANK(G25), "⏳ Chờ làm", IF(H25="✅ Đúng", "✅ Đúng ngay L1", IF(J25="✅ Đúng", "✅ Đúng ở L2", IF(L25="✅ Đúng", "✅ Đúng ở L3", "❌ Chưa đúng sau 3 lần"))))</f>
        <v/>
      </c>
      <c r="O25" s="13">
        <f>IF(ISBLANK(F25), "💡 Nhập đáp án vào Lần thử 1", IF(G25="✅ Đúng", "✨ Xuất sắc! Bạn đã làm đúng.", "💡 Gợi ý: " &amp; "Xác định chính xác chủ ngữ chính của câu (loại bỏ các cụm giới từ nhiễu) để chia động từ số ít hay số nhiều."))</f>
        <v/>
      </c>
      <c r="P25" s="5">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Q25" s="5">
        <f>IF(OR(H25="✅ Đúng", J25="✅ Đúng", L25="✅ Đúng"), "Gạch bỏ thông tin xen giữa trong hai dấu gạch ngang để xác định chủ ngữ chính.", "🔒 Trả lời đúng để mở khóa Strategic Tip!")</f>
        <v/>
      </c>
    </row>
    <row r="26" ht="15.75" customHeight="1" s="19">
      <c r="A26" s="7" t="inlineStr">
        <is>
          <t>M22</t>
        </is>
      </c>
      <c r="B26" s="7" t="inlineStr">
        <is>
          <t>Reading &amp; Writing Module 1</t>
        </is>
      </c>
      <c r="C26" s="5" t="inlineStr">
        <is>
          <t>Transitions (Sequence &amp; Step)</t>
        </is>
      </c>
      <c r="D26" s="5" t="inlineStr">
        <is>
          <t>How does a clear evening become foggy? First, the ground releases heat, which radiates upward. This causes the air near the ground to cool. _____ tiny water droplets begin to form as the cooling air reaches its dew point... Finally, as more droplets accumulate, a visible layer of fog develops.</t>
        </is>
      </c>
      <c r="E26" s="5" t="inlineStr">
        <is>
          <t>Which choice completes the text with the most logical transition?</t>
        </is>
      </c>
      <c r="F26" s="5" t="inlineStr">
        <is>
          <t>A. Similarly,
B. Lastly,
C. Instead,
D. Next,</t>
        </is>
      </c>
      <c r="G26" s="14" t="n"/>
      <c r="H26" s="7">
        <f>IF(ISBLANK(G26), "⏳ Chờ đáp án", IF(UPPER(TRIM(G26))="D", "✅ Đúng", "❌ Sai"))</f>
        <v/>
      </c>
      <c r="I26" s="14" t="n"/>
      <c r="J26" s="7">
        <f>IF(ISBLANK(I26), "", IF(UPPER(TRIM(I26))="D", "✅ Đúng", "❌ Sai"))</f>
        <v/>
      </c>
      <c r="K26" s="14" t="n"/>
      <c r="L26" s="7">
        <f>IF(ISBLANK(K26), "", IF(UPPER(TRIM(K26))="D", "✅ Đúng", "❌ Sai"))</f>
        <v/>
      </c>
      <c r="M26" s="7">
        <f>COUNTIF(H26, "❌ Sai") + COUNTIF(J26, "❌ Sai") + COUNTIF(L26, "❌ Sai")</f>
        <v/>
      </c>
      <c r="N26" s="7">
        <f>IF(ISBLANK(G26), "⏳ Chờ làm", IF(H26="✅ Đúng", "✅ Đúng ngay L1", IF(J26="✅ Đúng", "✅ Đúng ở L2", IF(L26="✅ Đúng", "✅ Đúng ở L3", "❌ Chưa đúng sau 3 lần"))))</f>
        <v/>
      </c>
      <c r="O26" s="13">
        <f>IF(ISBLANK(F26), "💡 Nhập đáp án vào Lần thử 1", IF(G26="✅ Đúng", "✨ Xuất sắc! Bạn đã làm đúng.", "💡 Gợi ý: " &amp; "Xác định mối quan hệ logic giữa hai câu (nguyên nhân-kết quả, bổ sung, hay trình tự thời gian)."))</f>
        <v/>
      </c>
      <c r="P26" s="5">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Q26" s="5">
        <f>IF(OR(H26="✅ Đúng", J26="✅ Đúng", L26="✅ Đúng"), "Từ nối chỉ thứ tự các bước trong quy trình: Next.", "🔒 Trả lời đúng để mở khóa Strategic Tip!")</f>
        <v/>
      </c>
    </row>
    <row r="27" ht="15.75" customHeight="1" s="19">
      <c r="A27" s="7" t="inlineStr">
        <is>
          <t>M23</t>
        </is>
      </c>
      <c r="B27" s="7" t="inlineStr">
        <is>
          <t>Reading &amp; Writing Module 1</t>
        </is>
      </c>
      <c r="C27" s="5" t="inlineStr">
        <is>
          <t>Transitions (Elaboration &amp; Specifics)</t>
        </is>
      </c>
      <c r="D27" s="5" t="inlineStr">
        <is>
          <t>Scientists studying forest restoration have discovered that trees depend on complex partnerships with microscopic organisms for survival. The researchers found that special fungi called endophytes live inside tree leaves and serve as a defense mechanism. _____ these endophytes help by fighting off diseases and boosting the tree's immune system.</t>
        </is>
      </c>
      <c r="E27" s="5" t="inlineStr">
        <is>
          <t>Which choice completes the text with the most logical transition?</t>
        </is>
      </c>
      <c r="F27" s="5" t="inlineStr">
        <is>
          <t>A. In conclusion,
B. Nevertheless,
C. Alternatively,
D. Specifically,</t>
        </is>
      </c>
      <c r="G27" s="14" t="n"/>
      <c r="H27" s="7">
        <f>IF(ISBLANK(G27), "⏳ Chờ đáp án", IF(UPPER(TRIM(G27))="D", "✅ Đúng", "❌ Sai"))</f>
        <v/>
      </c>
      <c r="I27" s="14" t="n"/>
      <c r="J27" s="7">
        <f>IF(ISBLANK(I27), "", IF(UPPER(TRIM(I27))="D", "✅ Đúng", "❌ Sai"))</f>
        <v/>
      </c>
      <c r="K27" s="14" t="n"/>
      <c r="L27" s="7">
        <f>IF(ISBLANK(K27), "", IF(UPPER(TRIM(K27))="D", "✅ Đúng", "❌ Sai"))</f>
        <v/>
      </c>
      <c r="M27" s="7">
        <f>COUNTIF(H27, "❌ Sai") + COUNTIF(J27, "❌ Sai") + COUNTIF(L27, "❌ Sai")</f>
        <v/>
      </c>
      <c r="N27" s="7">
        <f>IF(ISBLANK(G27), "⏳ Chờ làm", IF(H27="✅ Đúng", "✅ Đúng ngay L1", IF(J27="✅ Đúng", "✅ Đúng ở L2", IF(L27="✅ Đúng", "✅ Đúng ở L3", "❌ Chưa đúng sau 3 lần"))))</f>
        <v/>
      </c>
      <c r="O27" s="13">
        <f>IF(ISBLANK(F27), "💡 Nhập đáp án vào Lần thử 1", IF(G27="✅ Đúng", "✨ Xuất sắc! Bạn đã làm đúng.", "💡 Gợi ý: " &amp; "Xác định xem câu sau đang giải thích chi tiết hơn hay đưa ra ví dụ minh họa cho câu trước."))</f>
        <v/>
      </c>
      <c r="P27" s="5">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Q27" s="5">
        <f>IF(OR(H27="✅ Đúng", J27="✅ Đúng", L27="✅ Đúng"), "Specifically = đi vào chi tiết minh họa cụ thể.", "🔒 Trả lời đúng để mở khóa Strategic Tip!")</f>
        <v/>
      </c>
    </row>
    <row r="28" ht="15.75" customHeight="1" s="19">
      <c r="A28" s="7" t="inlineStr">
        <is>
          <t>M24</t>
        </is>
      </c>
      <c r="B28" s="7" t="inlineStr">
        <is>
          <t>Reading &amp; Writing Module 1</t>
        </is>
      </c>
      <c r="C28" s="5" t="inlineStr">
        <is>
          <t>Rhetorical Synthesis / Student Notes</t>
        </is>
      </c>
      <c r="D28" s="5" t="inlineStr">
        <is>
          <t>Notes: Pistol shrimp are small marine crustaceans that hunt using a specialized oversized claw. When the claw snaps shut rapidly, it pushes water... bubble pops forcefully... shock waves powerful enough to stun small fish.</t>
        </is>
      </c>
      <c r="E28" s="5" t="inlineStr">
        <is>
          <t>The student wants to introduce pistol shrimp to an audience unfamiliar with these crustaceans. Which choice most effectively uses relevant information from the notes to accomplish this goal?</t>
        </is>
      </c>
      <c r="F28" s="5" t="inlineStr">
        <is>
          <t>A. Some crustaceans use a specialized claw to create high-speed water jets...
B. Pistol shrimp are small marine creatures that use a specialized oversized claw to generate shock waves powerful enough to stun small fish.
C. Pushing water through a narrow groove at extreme speeds...
D. Pistol shrimp are preyed on by small marine crustaceans...</t>
        </is>
      </c>
      <c r="G28" s="14" t="n"/>
      <c r="H28" s="7">
        <f>IF(ISBLANK(G28), "⏳ Chờ đáp án", IF(UPPER(TRIM(G28))="B", "✅ Đúng", "❌ Sai"))</f>
        <v/>
      </c>
      <c r="I28" s="14" t="n"/>
      <c r="J28" s="7">
        <f>IF(ISBLANK(I28), "", IF(UPPER(TRIM(I28))="B", "✅ Đúng", "❌ Sai"))</f>
        <v/>
      </c>
      <c r="K28" s="14" t="n"/>
      <c r="L28" s="7">
        <f>IF(ISBLANK(K28), "", IF(UPPER(TRIM(K28))="B", "✅ Đúng", "❌ Sai"))</f>
        <v/>
      </c>
      <c r="M28" s="7">
        <f>COUNTIF(H28, "❌ Sai") + COUNTIF(J28, "❌ Sai") + COUNTIF(L28, "❌ Sai")</f>
        <v/>
      </c>
      <c r="N28" s="7">
        <f>IF(ISBLANK(G28), "⏳ Chờ làm", IF(H28="✅ Đúng", "✅ Đúng ngay L1", IF(J28="✅ Đúng", "✅ Đúng ở L2", IF(L28="✅ Đúng", "✅ Đúng ở L3", "❌ Chưa đúng sau 3 lần"))))</f>
        <v/>
      </c>
      <c r="O28" s="13">
        <f>IF(ISBLANK(F28), "💡 Nhập đáp án vào Lần thử 1", IF(G28="✅ Đúng", "✨ Xuất sắc! Bạn đã làm đúng.", "💡 Gợi ý: " &amp; "Đọc kỹ yêu cầu của đề bài (Goal/Target) để chọn ghi chú đáp ứng chính xác mục tiêu đó."))</f>
        <v/>
      </c>
      <c r="P28" s="5">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Q28" s="5">
        <f>IF(OR(H28="✅ Đúng", J28="✅ Đúng", L28="✅ Đúng"), "Giới thiệu đối tượng mới = Nêu tên đối tượng + Định nghĩa/Đặc điểm nhận diện chính.", "🔒 Trả lời đúng để mở khóa Strategic Tip!")</f>
        <v/>
      </c>
    </row>
    <row r="29" ht="15.75" customHeight="1" s="19">
      <c r="A29" s="7" t="inlineStr">
        <is>
          <t>M25</t>
        </is>
      </c>
      <c r="B29" s="7" t="inlineStr">
        <is>
          <t>Reading &amp; Writing Module 1</t>
        </is>
      </c>
      <c r="C29" s="5" t="inlineStr">
        <is>
          <t>Rhetorical Synthesis / Student Notes</t>
        </is>
      </c>
      <c r="D29" s="5" t="inlineStr">
        <is>
          <t>Notes: Elizabeth Catlett (1915-2012) was a celebrated African American artist... best known for creating sculptures and prints... New Generation is a 1992 print... Standing Mother and Child is a 1980 sculpture.</t>
        </is>
      </c>
      <c r="E29" s="5" t="inlineStr">
        <is>
          <t>The student wants to provide an example of one of Catlett's sculptures. Which choice most effectively uses relevant information from the notes to accomplish this goal?</t>
        </is>
      </c>
      <c r="F29" s="5" t="inlineStr">
        <is>
          <t>A. The print New Generation was created by celebrated artist Elizabeth Catlett in 1992.
B. The sculpture Standing Mother and Child was created by celebrated artist Elizabeth Catlett in 1980.
C. Artist Elizabeth Catlett is best known for creating sculptures and prints...
D. Elizabeth Catlett, a celebrated artist, was born in 1915.</t>
        </is>
      </c>
      <c r="G29" s="14" t="n"/>
      <c r="H29" s="7">
        <f>IF(ISBLANK(G29), "⏳ Chờ đáp án", IF(UPPER(TRIM(G29))="B", "✅ Đúng", "❌ Sai"))</f>
        <v/>
      </c>
      <c r="I29" s="14" t="n"/>
      <c r="J29" s="7">
        <f>IF(ISBLANK(I29), "", IF(UPPER(TRIM(I29))="B", "✅ Đúng", "❌ Sai"))</f>
        <v/>
      </c>
      <c r="K29" s="14" t="n"/>
      <c r="L29" s="7">
        <f>IF(ISBLANK(K29), "", IF(UPPER(TRIM(K29))="B", "✅ Đúng", "❌ Sai"))</f>
        <v/>
      </c>
      <c r="M29" s="7">
        <f>COUNTIF(H29, "❌ Sai") + COUNTIF(J29, "❌ Sai") + COUNTIF(L29, "❌ Sai")</f>
        <v/>
      </c>
      <c r="N29" s="7">
        <f>IF(ISBLANK(G29), "⏳ Chờ làm", IF(H29="✅ Đúng", "✅ Đúng ngay L1", IF(J29="✅ Đúng", "✅ Đúng ở L2", IF(L29="✅ Đúng", "✅ Đúng ở L3", "❌ Chưa đúng sau 3 lần"))))</f>
        <v/>
      </c>
      <c r="O29" s="13">
        <f>IF(ISBLANK(F29), "💡 Nhập đáp án vào Lần thử 1", IF(G29="✅ Đúng", "✨ Xuất sắc! Bạn đã làm đúng.", "💡 Gợi ý: " &amp; "Tập trung vào từ khóa chỉ đối tượng hoặc khía cạnh cụ thể mà đề bài yêu cầu người học nhấn mạnh."))</f>
        <v/>
      </c>
      <c r="P29" s="5">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Q29" s="5">
        <f>IF(OR(H29="✅ Đúng", J29="✅ Đúng", L29="✅ Đúng"), "Đọc kĩ yêu cầu cụ thể của đề bài: 'example of one of Catlett's sculptures'.", "🔒 Trả lời đúng để mở khóa Strategic Tip!")</f>
        <v/>
      </c>
    </row>
    <row r="30" ht="15.75" customHeight="1" s="19">
      <c r="A30" s="7" t="inlineStr">
        <is>
          <t>M26</t>
        </is>
      </c>
      <c r="B30" s="7" t="inlineStr">
        <is>
          <t>Reading &amp; Writing Module 1</t>
        </is>
      </c>
      <c r="C30" s="5" t="inlineStr">
        <is>
          <t>Rhetorical Synthesis / Student Notes</t>
        </is>
      </c>
      <c r="D30" s="5" t="inlineStr">
        <is>
          <t>Notes: Chapantongo is a municipality in Hidalgo, Mexico... Municipalities provide public services... Chapantongo's population was 12,967 in 2020. Its population was 12,271 in 2010.</t>
        </is>
      </c>
      <c r="E30" s="5" t="inlineStr">
        <is>
          <t>The student wants to emphasize the 2020 population of Chapantongo. Which choice most effectively uses relevant information from the notes to accomplish this goal?</t>
        </is>
      </c>
      <c r="F30" s="5" t="inlineStr">
        <is>
          <t>A. As of 2020, Chapantongo was one of 84 municipalities in Hidalgo, Mexico.
B. In 2020, the municipality of Chapantongo had a population of 12,967.
C. Chapantongo, a municipality in Hidalgo, is responsible for providing public services...
D. Home to 12,271 people, the governmental region was responsible...</t>
        </is>
      </c>
      <c r="G30" s="14" t="n"/>
      <c r="H30" s="7">
        <f>IF(ISBLANK(G30), "⏳ Chờ đáp án", IF(UPPER(TRIM(G30))="B", "✅ Đúng", "❌ Sai"))</f>
        <v/>
      </c>
      <c r="I30" s="14" t="n"/>
      <c r="J30" s="7">
        <f>IF(ISBLANK(I30), "", IF(UPPER(TRIM(I30))="B", "✅ Đúng", "❌ Sai"))</f>
        <v/>
      </c>
      <c r="K30" s="14" t="n"/>
      <c r="L30" s="7">
        <f>IF(ISBLANK(K30), "", IF(UPPER(TRIM(K30))="B", "✅ Đúng", "❌ Sai"))</f>
        <v/>
      </c>
      <c r="M30" s="7">
        <f>COUNTIF(H30, "❌ Sai") + COUNTIF(J30, "❌ Sai") + COUNTIF(L30, "❌ Sai")</f>
        <v/>
      </c>
      <c r="N30" s="7">
        <f>IF(ISBLANK(G30), "⏳ Chờ làm", IF(H30="✅ Đúng", "✅ Đúng ngay L1", IF(J30="✅ Đúng", "✅ Đúng ở L2", IF(L30="✅ Đúng", "✅ Đúng ở L3", "❌ Chưa đúng sau 3 lần"))))</f>
        <v/>
      </c>
      <c r="O30" s="13">
        <f>IF(ISBLANK(F30), "💡 Nhập đáp án vào Lần thử 1", IF(G30="✅ Đúng", "✨ Xuất sắc! Bạn đã làm đúng.", "💡 Gợi ý: " &amp; "So sánh các lựa chọn với các thông tin trong ghi chú để chọn câu tổng hợp đầy đủ và chính xác nhất."))</f>
        <v/>
      </c>
      <c r="P30" s="5">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Q30" s="5">
        <f>IF(OR(H30="✅ Đúng", J30="✅ Đúng", L30="✅ Đúng"), "Đáp án phải chứa thông tin được yêu cầu làm trọng tâm: 2020 population = 12,967.", "🔒 Trả lời đúng để mở khóa Strategic Tip!")</f>
        <v/>
      </c>
    </row>
    <row r="31" ht="15.75" customHeight="1" s="19">
      <c r="A31" s="7" t="inlineStr">
        <is>
          <t>M27</t>
        </is>
      </c>
      <c r="B31" s="7" t="inlineStr">
        <is>
          <t>Reading &amp; Writing Module 1</t>
        </is>
      </c>
      <c r="C31" s="5" t="inlineStr">
        <is>
          <t>Rhetorical Synthesis / Student Notes</t>
        </is>
      </c>
      <c r="D31" s="5" t="inlineStr">
        <is>
          <t>Notes: The Future of Nostalgia is a book by Svetlana Boym... Chapter 8 explores nostalgia and Europe's largest shopping mall... Chapter 17 discusses skeptics...</t>
        </is>
      </c>
      <c r="E31" s="5" t="inlineStr">
        <is>
          <t>The student wants to explain what Svetlana Boym writes about in chapter 8. Which choice most effectively uses relevant information from the notes to accomplish this goal?</t>
        </is>
      </c>
      <c r="F31" s="5" t="inlineStr">
        <is>
          <t>A. Svetlana Boym's The Future of Nostalgia explores nostalgia from various angles.
B. As Svetlana Boym writes in the seventeenth chapter...
C. Literary theorist Svetlana Boym explores nostalgia and Europe's largest shopping mall in chapter 8 of her book.
D. After exploring nostalgia and Europe's largest shopping mall, Boym goes on to discuss...</t>
        </is>
      </c>
      <c r="G31" s="14" t="n"/>
      <c r="H31" s="7">
        <f>IF(ISBLANK(G31), "⏳ Chờ đáp án", IF(UPPER(TRIM(G31))="C", "✅ Đúng", "❌ Sai"))</f>
        <v/>
      </c>
      <c r="I31" s="14" t="n"/>
      <c r="J31" s="7">
        <f>IF(ISBLANK(I31), "", IF(UPPER(TRIM(I31))="C", "✅ Đúng", "❌ Sai"))</f>
        <v/>
      </c>
      <c r="K31" s="14" t="n"/>
      <c r="L31" s="7">
        <f>IF(ISBLANK(K31), "", IF(UPPER(TRIM(K31))="C", "✅ Đúng", "❌ Sai"))</f>
        <v/>
      </c>
      <c r="M31" s="7">
        <f>COUNTIF(H31, "❌ Sai") + COUNTIF(J31, "❌ Sai") + COUNTIF(L31, "❌ Sai")</f>
        <v/>
      </c>
      <c r="N31" s="7">
        <f>IF(ISBLANK(G31), "⏳ Chờ làm", IF(H31="✅ Đúng", "✅ Đúng ngay L1", IF(J31="✅ Đúng", "✅ Đúng ở L2", IF(L31="✅ Đúng", "✅ Đúng ở L3", "❌ Chưa đúng sau 3 lần"))))</f>
        <v/>
      </c>
      <c r="O31" s="13">
        <f>IF(ISBLANK(F31), "💡 Nhập đáp án vào Lần thử 1", IF(G31="✅ Đúng", "✨ Xuất sắc! Bạn đã làm đúng.", "💡 Gợi ý: " &amp; "Xác định mục tiêu đề bài (ví dụ: giới thiệu tác phẩm, so sánh hai nghiên cứu) để chọn ghi chú phù hợp."))</f>
        <v/>
      </c>
      <c r="P31" s="5">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Q31" s="5">
        <f>IF(OR(H31="✅ Đúng", J31="✅ Đúng", L31="✅ Đúng"), "Chỉ chọn phương án trả lời đúng mục tiêu 'explain what Boym writes in chapter 8'.", "🔒 Trả lời đúng để mở khóa Strategic Tip!")</f>
        <v/>
      </c>
    </row>
    <row r="32" ht="15.75" customHeight="1" s="19">
      <c r="A32" s="7" t="inlineStr">
        <is>
          <t>M28</t>
        </is>
      </c>
      <c r="B32" s="7" t="inlineStr">
        <is>
          <t>Reading &amp; Writing Module 2</t>
        </is>
      </c>
      <c r="C32" s="5" t="inlineStr">
        <is>
          <t>Vocabulary in Context (Interplay)</t>
        </is>
      </c>
      <c r="D32" s="5" t="inlineStr">
        <is>
          <t>Soil conditions, weather patterns, market trends, input costs, labor availability, equipment maintenance, and biological cycles are all variables that farmers must consider separately and in terms of how they may affect each other, and it is this _____ of factors in particular that makes successful farm management so challenging.</t>
        </is>
      </c>
      <c r="E32" s="5" t="inlineStr">
        <is>
          <t>Which choice completes the text with the most logical and precise word or phrase?</t>
        </is>
      </c>
      <c r="F32" s="5" t="inlineStr">
        <is>
          <t>A. neglect
B. misinterpretation
C. resolution
D. interplay</t>
        </is>
      </c>
      <c r="G32" s="14" t="n"/>
      <c r="H32" s="7">
        <f>IF(ISBLANK(G32), "⏳ Chờ đáp án", IF(UPPER(TRIM(G32))="D", "✅ Đúng", "❌ Sai"))</f>
        <v/>
      </c>
      <c r="I32" s="14" t="n"/>
      <c r="J32" s="7">
        <f>IF(ISBLANK(I32), "", IF(UPPER(TRIM(I32))="D", "✅ Đúng", "❌ Sai"))</f>
        <v/>
      </c>
      <c r="K32" s="14" t="n"/>
      <c r="L32" s="7">
        <f>IF(ISBLANK(K32), "", IF(UPPER(TRIM(K32))="D", "✅ Đúng", "❌ Sai"))</f>
        <v/>
      </c>
      <c r="M32" s="7">
        <f>COUNTIF(H32, "❌ Sai") + COUNTIF(J32, "❌ Sai") + COUNTIF(L32, "❌ Sai")</f>
        <v/>
      </c>
      <c r="N32" s="7">
        <f>IF(ISBLANK(G32), "⏳ Chờ làm", IF(H32="✅ Đúng", "✅ Đúng ngay L1", IF(J32="✅ Đúng", "✅ Đúng ở L2", IF(L32="✅ Đúng", "✅ Đúng ở L3", "❌ Chưa đúng sau 3 lần"))))</f>
        <v/>
      </c>
      <c r="O32" s="13">
        <f>IF(ISBLANK(F32), "💡 Nhập đáp án vào Lần thử 1", IF(G32="✅ Đúng", "✨ Xuất sắc! Bạn đã làm đúng.", "💡 Gợi ý: " &amp; "Xem xét sự tác động qua lại giữa các yếu tố được nêu trong văn bản để chọn từ thể hiện mối quan hệ này."))</f>
        <v/>
      </c>
      <c r="P32" s="5">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Q32" s="5">
        <f>IF(OR(H32="✅ Đúng", J32="✅ Đúng", L32="✅ Đúng"), "Interplay = the way in which two or more things have an effect on each other.", "🔒 Trả lời đúng để mở khóa Strategic Tip!")</f>
        <v/>
      </c>
    </row>
    <row r="33" ht="15.75" customHeight="1" s="19">
      <c r="A33" s="7" t="inlineStr">
        <is>
          <t>M29</t>
        </is>
      </c>
      <c r="B33" s="7" t="inlineStr">
        <is>
          <t>Reading &amp; Writing Module 2</t>
        </is>
      </c>
      <c r="C33" s="5" t="inlineStr">
        <is>
          <t>Vocabulary in Context (Efficiency &amp; Output)</t>
        </is>
      </c>
      <c r="D33" s="5" t="inlineStr">
        <is>
          <t>To maximize throughput, package distribution centers employ advanced scheduling systems and strategic staging areas... are so efficient that even when delivery trucks arrive with short notice, goods can be processed rapidly.</t>
        </is>
      </c>
      <c r="E33" s="5" t="inlineStr">
        <is>
          <t>Which choice completes the text with the most logical and precise word or phrase?</t>
        </is>
      </c>
      <c r="F33" s="5" t="inlineStr">
        <is>
          <t>A. throughput
B. staffing
C. overhead
D. liability</t>
        </is>
      </c>
      <c r="G33" s="14" t="n"/>
      <c r="H33" s="7">
        <f>IF(ISBLANK(G33), "⏳ Chờ đáp án", IF(UPPER(TRIM(G33))="A", "✅ Đúng", "❌ Sai"))</f>
        <v/>
      </c>
      <c r="I33" s="14" t="n"/>
      <c r="J33" s="7">
        <f>IF(ISBLANK(I33), "", IF(UPPER(TRIM(I33))="A", "✅ Đúng", "❌ Sai"))</f>
        <v/>
      </c>
      <c r="K33" s="14" t="n"/>
      <c r="L33" s="7">
        <f>IF(ISBLANK(K33), "", IF(UPPER(TRIM(K33))="A", "✅ Đúng", "❌ Sai"))</f>
        <v/>
      </c>
      <c r="M33" s="7">
        <f>COUNTIF(H33, "❌ Sai") + COUNTIF(J33, "❌ Sai") + COUNTIF(L33, "❌ Sai")</f>
        <v/>
      </c>
      <c r="N33" s="7">
        <f>IF(ISBLANK(G33), "⏳ Chờ làm", IF(H33="✅ Đúng", "✅ Đúng ngay L1", IF(J33="✅ Đúng", "✅ Đúng ở L2", IF(L33="✅ Đúng", "✅ Đúng ở L3", "❌ Chưa đúng sau 3 lần"))))</f>
        <v/>
      </c>
      <c r="O33" s="13">
        <f>IF(ISBLANK(F33), "💡 Nhập đáp án vào Lần thử 1", IF(G33="✅ Đúng", "✨ Xuất sắc! Bạn đã làm đúng.", "💡 Gợi ý: " &amp; "Chú ý đến bối cảnh vận chuyển/xử lý hàng hóa và chọn từ thể hiện chỉ số đo lường hiệu suất tương ứng."))</f>
        <v/>
      </c>
      <c r="P33" s="5">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Q33" s="5">
        <f>IF(OR(H33="✅ Đúng", J33="✅ Đúng", L33="✅ Đúng"), "Throughput = the amount of material or items passing through a system or process.", "🔒 Trả lời đúng để mở khóa Strategic Tip!")</f>
        <v/>
      </c>
    </row>
    <row r="34" ht="15.75" customHeight="1" s="19">
      <c r="A34" s="7" t="inlineStr">
        <is>
          <t>M30</t>
        </is>
      </c>
      <c r="B34" s="7" t="inlineStr">
        <is>
          <t>Reading &amp; Writing Module 2</t>
        </is>
      </c>
      <c r="C34" s="5" t="inlineStr">
        <is>
          <t>Vocabulary in Context (Parameters)</t>
        </is>
      </c>
      <c r="D34" s="5" t="inlineStr">
        <is>
          <t>Researchers have developed algorithms that take into account how various _____ influence production schedules, allowing rapid solution generation for manufacturing planning problems. The algorithms help identify efficient production schedules by processing those quantifiable inputs...</t>
        </is>
      </c>
      <c r="E34" s="5" t="inlineStr">
        <is>
          <t>Which choice completes the text with the most logical and precise word or phrase?</t>
        </is>
      </c>
      <c r="F34" s="5" t="inlineStr">
        <is>
          <t>A. optimizations
B. predictions
C. parameters
D. liabilities</t>
        </is>
      </c>
      <c r="G34" s="14" t="n"/>
      <c r="H34" s="7">
        <f>IF(ISBLANK(G34), "⏳ Chờ đáp án", IF(UPPER(TRIM(G34))="C", "✅ Đúng", "❌ Sai"))</f>
        <v/>
      </c>
      <c r="I34" s="14" t="n"/>
      <c r="J34" s="7">
        <f>IF(ISBLANK(I34), "", IF(UPPER(TRIM(I34))="C", "✅ Đúng", "❌ Sai"))</f>
        <v/>
      </c>
      <c r="K34" s="14" t="n"/>
      <c r="L34" s="7">
        <f>IF(ISBLANK(K34), "", IF(UPPER(TRIM(K34))="C", "✅ Đúng", "❌ Sai"))</f>
        <v/>
      </c>
      <c r="M34" s="7">
        <f>COUNTIF(H34, "❌ Sai") + COUNTIF(J34, "❌ Sai") + COUNTIF(L34, "❌ Sai")</f>
        <v/>
      </c>
      <c r="N34" s="7">
        <f>IF(ISBLANK(G34), "⏳ Chờ làm", IF(H34="✅ Đúng", "✅ Đúng ngay L1", IF(J34="✅ Đúng", "✅ Đúng ở L2", IF(L34="✅ Đúng", "✅ Đúng ở L3", "❌ Chưa đúng sau 3 lần"))))</f>
        <v/>
      </c>
      <c r="O34" s="13">
        <f>IF(ISBLANK(F34), "💡 Nhập đáp án vào Lần thử 1", IF(G34="✅ Đúng", "✨ Xuất sắc! Bạn đã làm đúng.", "💡 Gợi ý: " &amp; "Xác định xem các thông số đầu vào được miêu tả mang tính chất định tính hay định lượng để chọn từ phù hợp."))</f>
        <v/>
      </c>
      <c r="P34" s="5">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Q34" s="5">
        <f>IF(OR(H34="✅ Đúng", J34="✅ Đúng", L34="✅ Đúng"), "Parameters = numerical or other measurable factors forming sets that define a system.", "🔒 Trả lời đúng để mở khóa Strategic Tip!")</f>
        <v/>
      </c>
    </row>
    <row r="35" ht="15.75" customHeight="1" s="19">
      <c r="A35" s="7" t="inlineStr">
        <is>
          <t>M31</t>
        </is>
      </c>
      <c r="B35" s="7" t="inlineStr">
        <is>
          <t>Reading &amp; Writing Module 2</t>
        </is>
      </c>
      <c r="C35" s="5" t="inlineStr">
        <is>
          <t>Vocabulary in Context (Cautions &amp; Warnings)</t>
        </is>
      </c>
      <c r="D35" s="5" t="inlineStr">
        <is>
          <t>Marvel Girl's ability to lift modest loads with her mind is illustrative of the lamentably lackluster powers bestowed on many female superheroes... serve as _____ showing the corrupting influence of power.</t>
        </is>
      </c>
      <c r="E35" s="5" t="inlineStr">
        <is>
          <t>Which choice completes the text with the most logical and precise word or phrase?</t>
        </is>
      </c>
      <c r="F35" s="5" t="inlineStr">
        <is>
          <t>A. venerations
B. admonitions
C. obfuscations
D. exonerations</t>
        </is>
      </c>
      <c r="G35" s="14" t="n"/>
      <c r="H35" s="7">
        <f>IF(ISBLANK(G35), "⏳ Chờ đáp án", IF(UPPER(TRIM(G35))="B", "✅ Đúng", "❌ Sai"))</f>
        <v/>
      </c>
      <c r="I35" s="14" t="n"/>
      <c r="J35" s="7">
        <f>IF(ISBLANK(I35), "", IF(UPPER(TRIM(I35))="B", "✅ Đúng", "❌ Sai"))</f>
        <v/>
      </c>
      <c r="K35" s="14" t="n"/>
      <c r="L35" s="7">
        <f>IF(ISBLANK(K35), "", IF(UPPER(TRIM(K35))="B", "✅ Đúng", "❌ Sai"))</f>
        <v/>
      </c>
      <c r="M35" s="7">
        <f>COUNTIF(H35, "❌ Sai") + COUNTIF(J35, "❌ Sai") + COUNTIF(L35, "❌ Sai")</f>
        <v/>
      </c>
      <c r="N35" s="7">
        <f>IF(ISBLANK(G35), "⏳ Chờ làm", IF(H35="✅ Đúng", "✅ Đúng ngay L1", IF(J35="✅ Đúng", "✅ Đúng ở L2", IF(L35="✅ Đúng", "✅ Đúng ở L3", "❌ Chưa đúng sau 3 lần"))))</f>
        <v/>
      </c>
      <c r="O35" s="13">
        <f>IF(ISBLANK(F35), "💡 Nhập đáp án vào Lần thử 1", IF(G35="✅ Đúng", "✨ Xuất sắc! Bạn đã làm đúng.", "💡 Gợi ý: " &amp; "Đọc kỹ sắc thái câu văn để chọn từ mang tính nhắc nhở hoặc cảnh báo phù hợp với bối cảnh quyền lực."))</f>
        <v/>
      </c>
      <c r="P35" s="5">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Q35" s="5">
        <f>IF(OR(H35="✅ Đúng", J35="✅ Đúng", L35="✅ Đúng"), "Admonitions = firm warnings or reprimands.", "🔒 Trả lời đúng để mở khóa Strategic Tip!")</f>
        <v/>
      </c>
    </row>
    <row r="36" ht="15.75" customHeight="1" s="19">
      <c r="A36" s="7" t="inlineStr">
        <is>
          <t>M32</t>
        </is>
      </c>
      <c r="B36" s="7" t="inlineStr">
        <is>
          <t>Reading &amp; Writing Module 2</t>
        </is>
      </c>
      <c r="C36" s="5" t="inlineStr">
        <is>
          <t>Sentence Function &amp; Text Structure</t>
        </is>
      </c>
      <c r="D36" s="5" t="inlineStr">
        <is>
          <t>Research on minor solar eruptions in magnetically quiet regions revealed an interesting pattern. Material expelled during these events follows a narrow arc trajectory back to the Sun's surface... Although these are impressive speeds, they are not sufficient to overcome the confining forces of the Sun's gravity... so the material is pulled back down.</t>
        </is>
      </c>
      <c r="E36" s="5" t="inlineStr">
        <is>
          <t>Which choice best describes the function of the underlined sentence in the text as a whole?</t>
        </is>
      </c>
      <c r="F36" s="5" t="inlineStr">
        <is>
          <t>A. It describes a natural phenomenon that is explained later in the text.
B. It presents a research finding that challenges the view mentioned in the first sentence.
C. It acknowledges an exception to the pattern described in the first sentence.
D. It discusses a natural occurrence that leads to the consequences explained later in the text.</t>
        </is>
      </c>
      <c r="G36" s="14" t="n"/>
      <c r="H36" s="7">
        <f>IF(ISBLANK(G36), "⏳ Chờ đáp án", IF(UPPER(TRIM(G36))="D", "✅ Đúng", "❌ Sai"))</f>
        <v/>
      </c>
      <c r="I36" s="14" t="n"/>
      <c r="J36" s="7">
        <f>IF(ISBLANK(I36), "", IF(UPPER(TRIM(I36))="D", "✅ Đúng", "❌ Sai"))</f>
        <v/>
      </c>
      <c r="K36" s="14" t="n"/>
      <c r="L36" s="7">
        <f>IF(ISBLANK(K36), "", IF(UPPER(TRIM(K36))="D", "✅ Đúng", "❌ Sai"))</f>
        <v/>
      </c>
      <c r="M36" s="7">
        <f>COUNTIF(H36, "❌ Sai") + COUNTIF(J36, "❌ Sai") + COUNTIF(L36, "❌ Sai")</f>
        <v/>
      </c>
      <c r="N36" s="7">
        <f>IF(ISBLANK(G36), "⏳ Chờ làm", IF(H36="✅ Đúng", "✅ Đúng ngay L1", IF(J36="✅ Đúng", "✅ Đúng ở L2", IF(L36="✅ Đúng", "✅ Đúng ở L3", "❌ Chưa đúng sau 3 lần"))))</f>
        <v/>
      </c>
      <c r="O36" s="13">
        <f>IF(ISBLANK(F36), "💡 Nhập đáp án vào Lần thử 1", IF(G36="✅ Đúng", "✨ Xuất sắc! Bạn đã làm đúng.", "💡 Gợi ý: " &amp; "Xác định vai trò của câu gạch chân trong việc liên kết ý trước và ý sau của đoạn văn."))</f>
        <v/>
      </c>
      <c r="P36" s="5">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Q36" s="5">
        <f>IF(OR(H36="✅ Đúng", J36="✅ Đúng", L36="✅ Đúng"), "Xác định vai trò tu từ: Trình bày hiện tượng dẫn tới kết quả theo sau.", "🔒 Trả lời đúng để mở khóa Strategic Tip!")</f>
        <v/>
      </c>
    </row>
    <row r="37" ht="15.75" customHeight="1" s="19">
      <c r="A37" s="7" t="inlineStr">
        <is>
          <t>M33</t>
        </is>
      </c>
      <c r="B37" s="7" t="inlineStr">
        <is>
          <t>Reading &amp; Writing Module 2</t>
        </is>
      </c>
      <c r="C37" s="5" t="inlineStr">
        <is>
          <t>Text Structure &amp; Overall Purpose</t>
        </is>
      </c>
      <c r="D37" s="5" t="inlineStr">
        <is>
          <t>Blue holes are large underwater sinkholes: pits filled with dark blue water... The formation of blue holes typically involves several natural processes, including the dissolution of limestone... Currently, the deepest blue hole on record is the Taam Ja' Blue Hole in Chetumal Bay, Mexico...</t>
        </is>
      </c>
      <c r="E37" s="5" t="inlineStr">
        <is>
          <t>Which choice best describes the overall structure of the text?</t>
        </is>
      </c>
      <c r="F37" s="5" t="inlineStr">
        <is>
          <t>A. It describes the appearance of a particular type of sinkhole, compares two sinkholes, and names researchers.
B. It compares a deep sinkhole to a shallower one, details processes, and emphasizes depth.
C. It explains how a particular sinkhole formed, evaluates appearance, and provides info.
D. It defines a kind of sinkhole, describes its typical appearance and formation, and provides information about the deepest known sinkhole.</t>
        </is>
      </c>
      <c r="G37" s="14" t="n"/>
      <c r="H37" s="7">
        <f>IF(ISBLANK(G37), "⏳ Chờ đáp án", IF(UPPER(TRIM(G37))="D", "✅ Đúng", "❌ Sai"))</f>
        <v/>
      </c>
      <c r="I37" s="14" t="n"/>
      <c r="J37" s="7">
        <f>IF(ISBLANK(I37), "", IF(UPPER(TRIM(I37))="D", "✅ Đúng", "❌ Sai"))</f>
        <v/>
      </c>
      <c r="K37" s="14" t="n"/>
      <c r="L37" s="7">
        <f>IF(ISBLANK(K37), "", IF(UPPER(TRIM(K37))="D", "✅ Đúng", "❌ Sai"))</f>
        <v/>
      </c>
      <c r="M37" s="7">
        <f>COUNTIF(H37, "❌ Sai") + COUNTIF(J37, "❌ Sai") + COUNTIF(L37, "❌ Sai")</f>
        <v/>
      </c>
      <c r="N37" s="7">
        <f>IF(ISBLANK(G37), "⏳ Chờ làm", IF(H37="✅ Đúng", "✅ Đúng ngay L1", IF(J37="✅ Đúng", "✅ Đúng ở L2", IF(L37="✅ Đúng", "✅ Đúng ở L3", "❌ Chưa đúng sau 3 lần"))))</f>
        <v/>
      </c>
      <c r="O37" s="13">
        <f>IF(ISBLANK(F37), "💡 Nhập đáp án vào Lần thử 1", IF(G37="✅ Đúng", "✨ Xuất sắc! Bạn đã làm đúng.", "💡 Gợi ý: " &amp; "Phân tích bố cục bài đọc từ việc đặt vấn đề, đưa ra bằng chứng cho đến kết luận chung."))</f>
        <v/>
      </c>
      <c r="P37" s="5">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Q37" s="5">
        <f>IF(OR(H37="✅ Đúng", J37="✅ Đúng", L37="✅ Đúng"), "Mô hình cấu trúc: Define -&gt; Describe Formation -&gt; Provide Specific Landmark Example.", "🔒 Trả lời đúng để mở khóa Strategic Tip!")</f>
        <v/>
      </c>
    </row>
    <row r="38" ht="15.75" customHeight="1" s="19">
      <c r="A38" s="7" t="inlineStr">
        <is>
          <t>M34</t>
        </is>
      </c>
      <c r="B38" s="7" t="inlineStr">
        <is>
          <t>Reading &amp; Writing Module 2</t>
        </is>
      </c>
      <c r="C38" s="5" t="inlineStr">
        <is>
          <t>Cross-Text Comparison (Paired Passages)</t>
        </is>
      </c>
      <c r="D38" s="5" t="inlineStr">
        <is>
          <t>Text 1: The wood I walk in on this mild May day... what grove of tropic palms, what strange ferns... could ever thrill such deep and delicate fibres within me as this home scene?
Text 2: My feelings seem to be those of our ancient earth... my own consciousness seems to stream through each blade of grass... in the rustling palm leaves.</t>
        </is>
      </c>
      <c r="E38" s="5" t="inlineStr">
        <is>
          <t>Which choice best describes a notable difference in how the author of Text 1 and the author of Text 2 refer to palm trees?</t>
        </is>
      </c>
      <c r="F38" s="5" t="inlineStr">
        <is>
          <t>A. While the narrator of Text 1 and the author of Text 2 both refer to metaphorical palm trees, only Text 1 suggests they represent home.
B. While palm trees form part of a series conveying variety in both texts, only Text 2 recognizes how interconnected they are.
C. While both discuss palm trees to suggest the value of nature, only Text 1 alludes to labor.
D. While palm trees serve to evoke natural beauty in both texts, only the author of Text 2 expresses a close sense of identification with palm trees.</t>
        </is>
      </c>
      <c r="G38" s="14" t="n"/>
      <c r="H38" s="7">
        <f>IF(ISBLANK(G38), "⏳ Chờ đáp án", IF(UPPER(TRIM(G38))="A", "✅ Đúng", "❌ Sai"))</f>
        <v/>
      </c>
      <c r="I38" s="14" t="n"/>
      <c r="J38" s="7">
        <f>IF(ISBLANK(I38), "", IF(UPPER(TRIM(I38))="A", "✅ Đúng", "❌ Sai"))</f>
        <v/>
      </c>
      <c r="K38" s="14" t="n"/>
      <c r="L38" s="7">
        <f>IF(ISBLANK(K38), "", IF(UPPER(TRIM(K38))="A", "✅ Đúng", "❌ Sai"))</f>
        <v/>
      </c>
      <c r="M38" s="7">
        <f>COUNTIF(H38, "❌ Sai") + COUNTIF(J38, "❌ Sai") + COUNTIF(L38, "❌ Sai")</f>
        <v/>
      </c>
      <c r="N38" s="7">
        <f>IF(ISBLANK(G38), "⏳ Chờ làm", IF(H38="✅ Đúng", "✅ Đúng ngay L1", IF(J38="✅ Đúng", "✅ Đúng ở L2", IF(L38="✅ Đúng", "✅ Đúng ở L3", "❌ Chưa đúng sau 3 lần"))))</f>
        <v/>
      </c>
      <c r="O38" s="13">
        <f>IF(ISBLANK(F38), "💡 Nhập đáp án vào Lần thử 1", IF(G38="✅ Đúng", "✨ Xuất sắc! Bạn đã làm đúng.", "💡 Gợi ý: " &amp; "So sánh quan điểm của hai tác giả về cùng một chủ đề để tìm ra điểm tương đồng hoặc khác biệt."))</f>
        <v/>
      </c>
      <c r="P38" s="5">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Q38" s="5">
        <f>IF(OR(H38="✅ Đúng", J38="✅ Đúng", L38="✅ Đúng"), "So sánh hai thái độ/góc nhìn của hai tác giả đối với cùng một hình ảnh.", "🔒 Trả lời đúng để mở khóa Strategic Tip!")</f>
        <v/>
      </c>
    </row>
    <row r="39" ht="15.75" customHeight="1" s="19">
      <c r="A39" s="7" t="inlineStr">
        <is>
          <t>M35</t>
        </is>
      </c>
      <c r="B39" s="7" t="inlineStr">
        <is>
          <t>Reading &amp; Writing Module 2</t>
        </is>
      </c>
      <c r="C39" s="5" t="inlineStr">
        <is>
          <t>Main Idea (Vernacular Riddles)</t>
        </is>
      </c>
      <c r="D39" s="5" t="inlineStr">
        <is>
          <t>Primarily encountered by modern readers as inert written texts, the vernacular riddles of early medieval England contain 'implicit vestiges' of an interactive performance context, scholar Jill Frederick argues. Locative phrases scattered throughout... invite a verbalized response... suggesting a form of dramatic impersonation...</t>
        </is>
      </c>
      <c r="E39" s="5" t="inlineStr">
        <is>
          <t>Which choice best states the main idea of the text?</t>
        </is>
      </c>
      <c r="F39" s="5" t="inlineStr">
        <is>
          <t>A. It is reasonable to conclude that vernacular riddles were mainly performed at large public gatherings...
B. Linguistic evidence found within the vernacular riddles of early medieval England suggests that they may have been intended to be performed in communal settings, though this isn't how they are generally experienced by readers today.
C. People of early medieval England likely found riddles more amusing than modern readers...
D. Scholars once assumed that riddles were read silently...</t>
        </is>
      </c>
      <c r="G39" s="14" t="n"/>
      <c r="H39" s="7">
        <f>IF(ISBLANK(G39), "⏳ Chờ đáp án", IF(UPPER(TRIM(G39))="B", "✅ Đúng", "❌ Sai"))</f>
        <v/>
      </c>
      <c r="I39" s="14" t="n"/>
      <c r="J39" s="7">
        <f>IF(ISBLANK(I39), "", IF(UPPER(TRIM(I39))="B", "✅ Đúng", "❌ Sai"))</f>
        <v/>
      </c>
      <c r="K39" s="14" t="n"/>
      <c r="L39" s="7">
        <f>IF(ISBLANK(K39), "", IF(UPPER(TRIM(K39))="B", "✅ Đúng", "❌ Sai"))</f>
        <v/>
      </c>
      <c r="M39" s="7">
        <f>COUNTIF(H39, "❌ Sai") + COUNTIF(J39, "❌ Sai") + COUNTIF(L39, "❌ Sai")</f>
        <v/>
      </c>
      <c r="N39" s="7">
        <f>IF(ISBLANK(G39), "⏳ Chờ làm", IF(H39="✅ Đúng", "✅ Đúng ngay L1", IF(J39="✅ Đúng", "✅ Đúng ở L2", IF(L39="✅ Đúng", "✅ Đúng ở L3", "❌ Chưa đúng sau 3 lần"))))</f>
        <v/>
      </c>
      <c r="O39" s="13">
        <f>IF(ISBLANK(F39), "💡 Nhập đáp án vào Lần thử 1", IF(G39="✅ Đúng", "✨ Xuất sắc! Bạn đã làm đúng.", "💡 Gợi ý: " &amp; "Tập trung vào ý tưởng chủ đạo xuyên suốt các câu thơ/đoạn văn thay vì các hình ảnh miêu tả chi tiết."))</f>
        <v/>
      </c>
      <c r="P39" s="5">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Q39" s="5">
        <f>IF(OR(H39="✅ Đúng", J39="✅ Đúng", L39="✅ Đúng"), "Main Point = Evidence of performance context vs. Modern passive reading.", "🔒 Trả lời đúng để mở khóa Strategic Tip!")</f>
        <v/>
      </c>
    </row>
    <row r="40" ht="15.75" customHeight="1" s="19">
      <c r="A40" s="7" t="inlineStr">
        <is>
          <t>M36</t>
        </is>
      </c>
      <c r="B40" s="7" t="inlineStr">
        <is>
          <t>Reading &amp; Writing Module 2</t>
        </is>
      </c>
      <c r="C40" s="5" t="inlineStr">
        <is>
          <t>Inference / Textual Evidence</t>
        </is>
      </c>
      <c r="D40" s="5" t="inlineStr">
        <is>
          <t>In the Mexican dialect of Spanish, the consonant s is pronounced with greater tension in the tongue... Margarita Hidalgo argues that Mexican Spanish acquired this pronunciation from Nahuatl... as Spanish colonizers incorporated Nahuatl words...</t>
        </is>
      </c>
      <c r="E40" s="5" t="inlineStr">
        <is>
          <t>Information in the text best supports which statement about the consonant s?</t>
        </is>
      </c>
      <c r="F40" s="5" t="inlineStr">
        <is>
          <t>A. The pronunciation of this consonant is the principal difference between dialects.
B. This consonant appears in a higher percentage of Nahuatl vocabulary.
C. The pronunciation of this consonant in Mexican Spanish may have been affected by its pronunciation in Nahuatl.
D. The pronunciation requires greater tension in the tongue in Nahuatl than in Castilian.</t>
        </is>
      </c>
      <c r="G40" s="14" t="n"/>
      <c r="H40" s="7">
        <f>IF(ISBLANK(G40), "⏳ Chờ đáp án", IF(UPPER(TRIM(G40))="D", "✅ Đúng", "❌ Sai"))</f>
        <v/>
      </c>
      <c r="I40" s="14" t="n"/>
      <c r="J40" s="7">
        <f>IF(ISBLANK(I40), "", IF(UPPER(TRIM(I40))="D", "✅ Đúng", "❌ Sai"))</f>
        <v/>
      </c>
      <c r="K40" s="14" t="n"/>
      <c r="L40" s="7">
        <f>IF(ISBLANK(K40), "", IF(UPPER(TRIM(K40))="D", "✅ Đúng", "❌ Sai"))</f>
        <v/>
      </c>
      <c r="M40" s="7">
        <f>COUNTIF(H40, "❌ Sai") + COUNTIF(J40, "❌ Sai") + COUNTIF(L40, "❌ Sai")</f>
        <v/>
      </c>
      <c r="N40" s="7">
        <f>IF(ISBLANK(G40), "⏳ Chờ làm", IF(H40="✅ Đúng", "✅ Đúng ngay L1", IF(J40="✅ Đúng", "✅ Đúng ở L2", IF(L40="✅ Đúng", "✅ Đúng ở L3", "❌ Chưa đúng sau 3 lần"))))</f>
        <v/>
      </c>
      <c r="O40" s="13">
        <f>IF(ISBLANK(F40), "💡 Nhập đáp án vào Lần thử 1", IF(G40="✅ Đúng", "✨ Xuất sắc! Bạn đã làm đúng.", "💡 Gợi ý: " &amp; "Đối chiếu thông tin từ bài đọc với các lựa chọn để tìm suy luận có căn cứ trực tiếp."))</f>
        <v/>
      </c>
      <c r="P40" s="5">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Q40" s="5">
        <f>IF(OR(H40="✅ Đúng", J40="✅ Đúng", L40="✅ Đúng"), "Suy luận trực tiếp từ giả thuyết ảnh hưởng ngôn ngữ Nahuatl.", "🔒 Trả lời đúng để mở khóa Strategic Tip!")</f>
        <v/>
      </c>
    </row>
    <row r="41" ht="15.75" customHeight="1" s="19">
      <c r="A41" s="7" t="inlineStr">
        <is>
          <t>M37</t>
        </is>
      </c>
      <c r="B41" s="7" t="inlineStr">
        <is>
          <t>Reading &amp; Writing Module 2</t>
        </is>
      </c>
      <c r="C41" s="5" t="inlineStr">
        <is>
          <t>Command of Evidence (Cover Crops)</t>
        </is>
      </c>
      <c r="D41" s="5" t="inlineStr">
        <is>
          <t>Cover crops, such as teff, are planted between main growing seasons... Axel Don concluded that cover crops contribute meaningfully to soil carbon sequestration and could help offset agricultural emissions...</t>
        </is>
      </c>
      <c r="E41" s="5" t="inlineStr">
        <is>
          <t>Which finding, if true, would be most consistent with Don and his coauthor's conclusion?</t>
        </is>
      </c>
      <c r="F41" s="5" t="inlineStr">
        <is>
          <t>A. Teff captures considerably more CO2 in fields where it is grown alongside other species...
B. Cover crops generally exhibit reduced carbon sequestration rates in fields exposed to high levels...
C. SOC stocks vary more in fields where cover crops have been grown for decades...
D. SOC stocks tend to be significantly lower in fields without cover crops compared with fields where cover crops have been grown for several years.</t>
        </is>
      </c>
      <c r="G41" s="14" t="n"/>
      <c r="H41" s="7">
        <f>IF(ISBLANK(G41), "⏳ Chờ đáp án", IF(UPPER(TRIM(G41))="D", "✅ Đúng", "❌ Sai"))</f>
        <v/>
      </c>
      <c r="I41" s="14" t="n"/>
      <c r="J41" s="7">
        <f>IF(ISBLANK(I41), "", IF(UPPER(TRIM(I41))="D", "✅ Đúng", "❌ Sai"))</f>
        <v/>
      </c>
      <c r="K41" s="14" t="n"/>
      <c r="L41" s="7">
        <f>IF(ISBLANK(K41), "", IF(UPPER(TRIM(K41))="D", "✅ Đúng", "❌ Sai"))</f>
        <v/>
      </c>
      <c r="M41" s="7">
        <f>COUNTIF(H41, "❌ Sai") + COUNTIF(J41, "❌ Sai") + COUNTIF(L41, "❌ Sai")</f>
        <v/>
      </c>
      <c r="N41" s="7">
        <f>IF(ISBLANK(G41), "⏳ Chờ làm", IF(H41="✅ Đúng", "✅ Đúng ngay L1", IF(J41="✅ Đúng", "✅ Đúng ở L2", IF(L41="✅ Đúng", "✅ Đúng ở L3", "❌ Chưa đúng sau 3 lần"))))</f>
        <v/>
      </c>
      <c r="O41" s="13">
        <f>IF(ISBLANK(F41), "💡 Nhập đáp án vào Lần thử 1", IF(G41="✅ Đúng", "✨ Xuất sắc! Bạn đã làm đúng.", "💡 Gợi ý: " &amp; "Kiểm tra số liệu bảng biểu để xác định phương án phản ánh đúng xu hướng dữ liệu."))</f>
        <v/>
      </c>
      <c r="P41" s="5">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Q41" s="5">
        <f>IF(OR(H41="✅ Đúng", J41="✅ Đúng", L41="✅ Đúng"), "Consistent with conclusion = Dữ liệu thực tế chứng minh vai trò tăng SOC của cover crops.", "🔒 Trả lời đúng để mở khóa Strategic Tip!")</f>
        <v/>
      </c>
    </row>
    <row r="42" ht="15.75" customHeight="1" s="19">
      <c r="A42" s="7" t="inlineStr">
        <is>
          <t>M38</t>
        </is>
      </c>
      <c r="B42" s="7" t="inlineStr">
        <is>
          <t>Reading &amp; Writing Module 2</t>
        </is>
      </c>
      <c r="C42" s="5" t="inlineStr">
        <is>
          <t>Text Completion / Logical Inference</t>
        </is>
      </c>
      <c r="D42" s="5" t="inlineStr">
        <is>
          <t xml:space="preserve">While the brain regions most strongly associated with language tasks have some modularity... comprehension also invokes other areas of the brain associated with nonlinguistic functions. For example, understanding a description of physical actions activates sensory-motor areas... Thus, beyond the areas most strongly associated with linguistic functions, _____ </t>
        </is>
      </c>
      <c r="E42" s="5" t="inlineStr">
        <is>
          <t>Which choice most logically completes the text?</t>
        </is>
      </c>
      <c r="F42" s="5" t="inlineStr">
        <is>
          <t>A. the specific combination of brain regions involved in comprehension is likely contingent on the total context in which the speech is embedded.
B. the brain regions associated with sensory-motor functions are often involved...
C. the brain regions most strongly associated with affective processing activate...
D. the areas of the brain that activate when processing speech will typically include...</t>
        </is>
      </c>
      <c r="G42" s="14" t="n"/>
      <c r="H42" s="7">
        <f>IF(ISBLANK(G42), "⏳ Chờ đáp án", IF(UPPER(TRIM(G42))="A", "✅ Đúng", "❌ Sai"))</f>
        <v/>
      </c>
      <c r="I42" s="14" t="n"/>
      <c r="J42" s="7">
        <f>IF(ISBLANK(I42), "", IF(UPPER(TRIM(I42))="A", "✅ Đúng", "❌ Sai"))</f>
        <v/>
      </c>
      <c r="K42" s="14" t="n"/>
      <c r="L42" s="7">
        <f>IF(ISBLANK(K42), "", IF(UPPER(TRIM(K42))="A", "✅ Đúng", "❌ Sai"))</f>
        <v/>
      </c>
      <c r="M42" s="7">
        <f>COUNTIF(H42, "❌ Sai") + COUNTIF(J42, "❌ Sai") + COUNTIF(L42, "❌ Sai")</f>
        <v/>
      </c>
      <c r="N42" s="7">
        <f>IF(ISBLANK(G42), "⏳ Chờ làm", IF(H42="✅ Đúng", "✅ Đúng ngay L1", IF(J42="✅ Đúng", "✅ Đúng ở L2", IF(L42="✅ Đúng", "✅ Đúng ở L3", "❌ Chưa đúng sau 3 lần"))))</f>
        <v/>
      </c>
      <c r="O42" s="13">
        <f>IF(ISBLANK(F42), "💡 Nhập đáp án vào Lần thử 1", IF(G42="✅ Đúng", "✨ Xuất sắc! Bạn đã làm đúng.", "💡 Gợi ý: " &amp; "Đọc câu văn ngay trước chỗ trống để xác định hướng phát triển logic của luận điểm."))</f>
        <v/>
      </c>
      <c r="P42" s="5">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Q42" s="5">
        <f>IF(OR(H42="✅ Đúng", J42="✅ Đúng", L42="✅ Đúng"), "Kết luận hợp logic: Loại hình nội dung khác nhau -&gt; Kích hoạt các vùng não phi ngôn ngữ khác nhau.", "🔒 Trả lời đúng để mở khóa Strategic Tip!")</f>
        <v/>
      </c>
    </row>
    <row r="43" ht="15.75" customHeight="1" s="19">
      <c r="A43" s="7" t="inlineStr">
        <is>
          <t>M39</t>
        </is>
      </c>
      <c r="B43" s="7" t="inlineStr">
        <is>
          <t>Reading &amp; Writing Module 2</t>
        </is>
      </c>
      <c r="C43" s="5" t="inlineStr">
        <is>
          <t>Text Completion / Logic Comparison</t>
        </is>
      </c>
      <c r="D43" s="5" t="inlineStr">
        <is>
          <t xml:space="preserve">The Clarion-Clipperton Zone (CCZ)... Some species were identified both morphologically and molecularly, whereas species for which molecular sampling was impracticable were identified solely based on physical morphology. Since molecular analysis does not require distinguishing subtle physiological differences, it is _____ </t>
        </is>
      </c>
      <c r="E43" s="5" t="inlineStr">
        <is>
          <t>Which choice most logically completes the text?</t>
        </is>
      </c>
      <c r="F43" s="5" t="inlineStr">
        <is>
          <t>A. more frequently used for identifying species with physical differences...
B. capable of providing greater physiological detail...
C. better suited to distinguishing Psychropotes dyscrita from morphologically similar species...
D. more likely to properly distinguish between morphologically similar but distinct invertebrate species than is the method used to identify Discantenna metallica.</t>
        </is>
      </c>
      <c r="G43" s="14" t="n"/>
      <c r="H43" s="7">
        <f>IF(ISBLANK(G43), "⏳ Chờ đáp án", IF(UPPER(TRIM(G43))="C", "✅ Đúng", "❌ Sai"))</f>
        <v/>
      </c>
      <c r="I43" s="14" t="n"/>
      <c r="J43" s="7">
        <f>IF(ISBLANK(I43), "", IF(UPPER(TRIM(I43))="C", "✅ Đúng", "❌ Sai"))</f>
        <v/>
      </c>
      <c r="K43" s="14" t="n"/>
      <c r="L43" s="7">
        <f>IF(ISBLANK(K43), "", IF(UPPER(TRIM(K43))="C", "✅ Đúng", "❌ Sai"))</f>
        <v/>
      </c>
      <c r="M43" s="7">
        <f>COUNTIF(H43, "❌ Sai") + COUNTIF(J43, "❌ Sai") + COUNTIF(L43, "❌ Sai")</f>
        <v/>
      </c>
      <c r="N43" s="7">
        <f>IF(ISBLANK(G43), "⏳ Chờ làm", IF(H43="✅ Đúng", "✅ Đúng ngay L1", IF(J43="✅ Đúng", "✅ Đúng ở L2", IF(L43="✅ Đúng", "✅ Đúng ở L3", "❌ Chưa đúng sau 3 lần"))))</f>
        <v/>
      </c>
      <c r="O43" s="13">
        <f>IF(ISBLANK(F43), "💡 Nhập đáp án vào Lần thử 1", IF(G43="✅ Đúng", "✨ Xuất sắc! Bạn đã làm đúng.", "💡 Gợi ý: " &amp; "Chú ý các từ nối so sánh để chọn câu hoàn thành đúng mối tương quan giữa các đối tượng."))</f>
        <v/>
      </c>
      <c r="P43" s="5">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Q43" s="5">
        <f>IF(OR(H43="✅ Đúng", J43="✅ Đúng", L43="✅ Đúng"), "Ưu điểm của phân tích phân tử: Phân biệt chính xác các loài có hình thái bên ngoài tương đồng.", "🔒 Trả lời đúng để mở khóa Strategic Tip!")</f>
        <v/>
      </c>
    </row>
    <row r="44" ht="15.75" customHeight="1" s="19">
      <c r="A44" s="7" t="inlineStr">
        <is>
          <t>M40</t>
        </is>
      </c>
      <c r="B44" s="7" t="inlineStr">
        <is>
          <t>Reading &amp; Writing Module 2</t>
        </is>
      </c>
      <c r="C44" s="5" t="inlineStr">
        <is>
          <t>Text Completion / Complex Inference</t>
        </is>
      </c>
      <c r="D44" s="5" t="inlineStr">
        <is>
          <t xml:space="preserve">Rare species advantage (RSA) describes the situation in which there are few conspecifics... Among tree species in tropical forest sites, RSA is expected, but in temperate forest sites, the aggregation-abundance correlation is strongly negative. Mathematical modeling suggests, however, that ecological niche distinction may mitigate the apparent risk to temperate ecological stability engendered by this pattern because _____ </t>
        </is>
      </c>
      <c r="E44" s="5" t="inlineStr">
        <is>
          <t>Which choice most logically completes the text?</t>
        </is>
      </c>
      <c r="F44" s="5" t="inlineStr">
        <is>
          <t>A. as a tree species in temperate forests becomes more abundant, individuals are more likely...
B. even though rare tree species in forests tend to cluster...
C. although rare tree species in temperate forests encounter relatively high local competition from conspecifics, they can thrive by exploiting resources that are underexploited by other local species.
D. while an increase in abundance in one tree species often leads...</t>
        </is>
      </c>
      <c r="G44" s="14" t="n"/>
      <c r="H44" s="7">
        <f>IF(ISBLANK(G44), "⏳ Chờ đáp án", IF(UPPER(TRIM(G44))="A", "✅ Đúng", "❌ Sai"))</f>
        <v/>
      </c>
      <c r="I44" s="14" t="n"/>
      <c r="J44" s="7">
        <f>IF(ISBLANK(I44), "", IF(UPPER(TRIM(I44))="A", "✅ Đúng", "❌ Sai"))</f>
        <v/>
      </c>
      <c r="K44" s="14" t="n"/>
      <c r="L44" s="7">
        <f>IF(ISBLANK(K44), "", IF(UPPER(TRIM(K44))="A", "✅ Đúng", "❌ Sai"))</f>
        <v/>
      </c>
      <c r="M44" s="7">
        <f>COUNTIF(H44, "❌ Sai") + COUNTIF(J44, "❌ Sai") + COUNTIF(L44, "❌ Sai")</f>
        <v/>
      </c>
      <c r="N44" s="7">
        <f>IF(ISBLANK(G44), "⏳ Chờ làm", IF(H44="✅ Đúng", "✅ Đúng ngay L1", IF(J44="✅ Đúng", "✅ Đúng ở L2", IF(L44="✅ Đúng", "✅ Đúng ở L3", "❌ Chưa đúng sau 3 lần"))))</f>
        <v/>
      </c>
      <c r="O44" s="13">
        <f>IF(ISBLANK(F44), "💡 Nhập đáp án vào Lần thử 1", IF(G44="✅ Đúng", "✨ Xuất sắc! Bạn đã làm đúng.", "💡 Gợi ý: " &amp; "Tổng hợp các dữ kiện trong bài để chọn kết luận logic bảo thủ, tránh suy diễn quá đà."))</f>
        <v/>
      </c>
      <c r="P44" s="5">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Q44" s="5">
        <f>IF(OR(H44="✅ Đúng", J44="✅ Đúng", L44="✅ Đúng"), "Giải thích cơ chế Niche Distinction giúp duy trì sự ổn định sinh thái.", "🔒 Trả lời đúng để mở khóa Strategic Tip!")</f>
        <v/>
      </c>
    </row>
    <row r="45" ht="15.75" customHeight="1" s="19">
      <c r="A45" s="7" t="inlineStr">
        <is>
          <t>M41</t>
        </is>
      </c>
      <c r="B45" s="7" t="inlineStr">
        <is>
          <t>Reading &amp; Writing Module 2</t>
        </is>
      </c>
      <c r="C45" s="5" t="inlineStr">
        <is>
          <t>Standard English Conventions (Modifiers)</t>
        </is>
      </c>
      <c r="D45" s="5" t="inlineStr">
        <is>
          <t xml:space="preserve">A premortem is an exercise in which teams imagine their project has already failed... Prompting teams to proactively develop mitigation strategies during the planning stage, _____ </t>
        </is>
      </c>
      <c r="E45" s="5" t="inlineStr">
        <is>
          <t>Which choice completes the text so that it conforms to the conventions of Standard English?</t>
        </is>
      </c>
      <c r="F45" s="5" t="inlineStr">
        <is>
          <t>A. effective uncovering of potential problems by the team in this activity is done early,
B. this activity effectively uncovers potential problems early,
C. potential problems are effectively uncovered by this activity early,
D. teams effectively uncover potential problems early with this activity,</t>
        </is>
      </c>
      <c r="G45" s="14" t="n"/>
      <c r="H45" s="7">
        <f>IF(ISBLANK(G45), "⏳ Chờ đáp án", IF(UPPER(TRIM(G45))="B", "✅ Đúng", "❌ Sai"))</f>
        <v/>
      </c>
      <c r="I45" s="14" t="n"/>
      <c r="J45" s="7">
        <f>IF(ISBLANK(I45), "", IF(UPPER(TRIM(I45))="B", "✅ Đúng", "❌ Sai"))</f>
        <v/>
      </c>
      <c r="K45" s="14" t="n"/>
      <c r="L45" s="7">
        <f>IF(ISBLANK(K45), "", IF(UPPER(TRIM(K45))="B", "✅ Đúng", "❌ Sai"))</f>
        <v/>
      </c>
      <c r="M45" s="7">
        <f>COUNTIF(H45, "❌ Sai") + COUNTIF(J45, "❌ Sai") + COUNTIF(L45, "❌ Sai")</f>
        <v/>
      </c>
      <c r="N45" s="7">
        <f>IF(ISBLANK(G45), "⏳ Chờ làm", IF(H45="✅ Đúng", "✅ Đúng ngay L1", IF(J45="✅ Đúng", "✅ Đúng ở L2", IF(L45="✅ Đúng", "✅ Đúng ở L3", "❌ Chưa đúng sau 3 lần"))))</f>
        <v/>
      </c>
      <c r="O45" s="13">
        <f>IF(ISBLANK(F45), "💡 Nhập đáp án vào Lần thử 1", IF(G45="✅ Đúng", "✨ Xuất sắc! Bạn đã làm đúng.", "💡 Gợi ý: " &amp; "Xác định danh từ đứng ngay sau dấu phẩy để đảm bảo bổ ngữ đầu câu bổ nghĩa đúng đối tượng."))</f>
        <v/>
      </c>
      <c r="P45" s="5">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Q45" s="5">
        <f>IF(OR(H45="✅ Đúng", J45="✅ Đúng", L45="✅ Đúng"), "Bổ ngữ phân từ đầu câu: [Participle Modifier], [Subject + Verb].", "🔒 Trả lời đúng để mở khóa Strategic Tip!")</f>
        <v/>
      </c>
    </row>
    <row r="46" ht="15.75" customHeight="1" s="19">
      <c r="A46" s="7" t="inlineStr">
        <is>
          <t>M42</t>
        </is>
      </c>
      <c r="B46" s="7" t="inlineStr">
        <is>
          <t>Reading &amp; Writing Module 2</t>
        </is>
      </c>
      <c r="C46" s="5" t="inlineStr">
        <is>
          <t>Standard English Conventions (Parallel Lists)</t>
        </is>
      </c>
      <c r="D46" s="5" t="inlineStr">
        <is>
          <t>As one of aviation's earliest female stunt performers, Gladys Ingle developed a versatile repertoire of acrobatic feats. Her specialized skills included standing on the wing of a flying aircraft and shooting a bow and arrow at a target _____ maintaining perfect balance during aerial maneuvers, such as vertical loops; and even walking across the wing...</t>
        </is>
      </c>
      <c r="E46" s="5" t="inlineStr">
        <is>
          <t>Which choice completes the text so that it conforms to the conventions of Standard English?</t>
        </is>
      </c>
      <c r="F46" s="5" t="inlineStr">
        <is>
          <t>A. target; maintaining
B. target maintaining
C. target. Maintaining
D. target, maintaining</t>
        </is>
      </c>
      <c r="G46" s="14" t="n"/>
      <c r="H46" s="7">
        <f>IF(ISBLANK(G46), "⏳ Chờ đáp án", IF(UPPER(TRIM(G46))="A", "✅ Đúng", "❌ Sai"))</f>
        <v/>
      </c>
      <c r="I46" s="14" t="n"/>
      <c r="J46" s="7">
        <f>IF(ISBLANK(I46), "", IF(UPPER(TRIM(I46))="A", "✅ Đúng", "❌ Sai"))</f>
        <v/>
      </c>
      <c r="K46" s="14" t="n"/>
      <c r="L46" s="7">
        <f>IF(ISBLANK(K46), "", IF(UPPER(TRIM(K46))="A", "✅ Đúng", "❌ Sai"))</f>
        <v/>
      </c>
      <c r="M46" s="7">
        <f>COUNTIF(H46, "❌ Sai") + COUNTIF(J46, "❌ Sai") + COUNTIF(L46, "❌ Sai")</f>
        <v/>
      </c>
      <c r="N46" s="7">
        <f>IF(ISBLANK(G46), "⏳ Chờ làm", IF(H46="✅ Đúng", "✅ Đúng ngay L1", IF(J46="✅ Đúng", "✅ Đúng ở L2", IF(L46="✅ Đúng", "✅ Đúng ở L3", "❌ Chưa đúng sau 3 lần"))))</f>
        <v/>
      </c>
      <c r="O46" s="13">
        <f>IF(ISBLANK(F46), "💡 Nhập đáp án vào Lần thử 1", IF(G46="✅ Đúng", "✨ Xuất sắc! Bạn đã làm đúng.", "💡 Gợi ý: " &amp; "Kiểm tra tính song song về mặt cấu trúc ngữ pháp giữa các phần tử trong danh sách liệt kê."))</f>
        <v/>
      </c>
      <c r="P46" s="5">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Q46" s="5">
        <f>IF(OR(H46="✅ Đúng", J46="✅ Đúng", L46="✅ Đúng"), "Dùng dấu chấm phẩy (;) phân tách các mục lớn trong danh sách phức tạp.", "🔒 Trả lời đúng để mở khóa Strategic Tip!")</f>
        <v/>
      </c>
    </row>
    <row r="47" ht="15.75" customHeight="1" s="19">
      <c r="A47" s="7" t="inlineStr">
        <is>
          <t>M43</t>
        </is>
      </c>
      <c r="B47" s="7" t="inlineStr">
        <is>
          <t>Reading &amp; Writing Module 2</t>
        </is>
      </c>
      <c r="C47" s="5" t="inlineStr">
        <is>
          <t>Standard English Conventions (Participles)</t>
        </is>
      </c>
      <c r="D47" s="5" t="inlineStr">
        <is>
          <t>During a recent investigation, archaeologists _____ an explanation for the consistent and seemingly deliberate placement of petroglyphs near water analyzed several sites on Caribbean islands.</t>
        </is>
      </c>
      <c r="E47" s="5" t="inlineStr">
        <is>
          <t>Which choice completes the text so that it conforms to the conventions of Standard English?</t>
        </is>
      </c>
      <c r="F47" s="5" t="inlineStr">
        <is>
          <t>A. had
B. sought
C. seeking
D. were seeking</t>
        </is>
      </c>
      <c r="G47" s="14" t="n"/>
      <c r="H47" s="7">
        <f>IF(ISBLANK(G47), "⏳ Chờ đáp án", IF(UPPER(TRIM(G47))="C", "✅ Đúng", "❌ Sai"))</f>
        <v/>
      </c>
      <c r="I47" s="14" t="n"/>
      <c r="J47" s="7">
        <f>IF(ISBLANK(I47), "", IF(UPPER(TRIM(I47))="C", "✅ Đúng", "❌ Sai"))</f>
        <v/>
      </c>
      <c r="K47" s="14" t="n"/>
      <c r="L47" s="7">
        <f>IF(ISBLANK(K47), "", IF(UPPER(TRIM(K47))="C", "✅ Đúng", "❌ Sai"))</f>
        <v/>
      </c>
      <c r="M47" s="7">
        <f>COUNTIF(H47, "❌ Sai") + COUNTIF(J47, "❌ Sai") + COUNTIF(L47, "❌ Sai")</f>
        <v/>
      </c>
      <c r="N47" s="7">
        <f>IF(ISBLANK(G47), "⏳ Chờ làm", IF(H47="✅ Đúng", "✅ Đúng ngay L1", IF(J47="✅ Đúng", "✅ Đúng ở L2", IF(L47="✅ Đúng", "✅ Đúng ở L3", "❌ Chưa đúng sau 3 lần"))))</f>
        <v/>
      </c>
      <c r="O47" s="13">
        <f>IF(ISBLANK(F47), "💡 Nhập đáp án vào Lần thử 1", IF(G47="✅ Đúng", "✨ Xuất sắc! Bạn đã làm đúng.", "💡 Gợi ý: " &amp; "Phân biệt giữa hiện tại phân từ (-ing) và quá khứ phân từ (-ed) dựa trên tính chủ động/bị động."))</f>
        <v/>
      </c>
      <c r="P47" s="5">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Q47" s="5">
        <f>IF(OR(H47="✅ Đúng", J47="✅ Đúng", L47="✅ Đúng"), "Rút gọn mệnh đề quan hệ chủ động: archaeologists who were seeking -&gt; archaeologists seeking.", "🔒 Trả lời đúng để mở khóa Strategic Tip!")</f>
        <v/>
      </c>
    </row>
    <row r="48" ht="15.75" customHeight="1" s="19">
      <c r="A48" s="7" t="inlineStr">
        <is>
          <t>M44</t>
        </is>
      </c>
      <c r="B48" s="7" t="inlineStr">
        <is>
          <t>Reading &amp; Writing Module 2</t>
        </is>
      </c>
      <c r="C48" s="5" t="inlineStr">
        <is>
          <t>Standard English Conventions (Punctuation Dashes)</t>
        </is>
      </c>
      <c r="D48" s="5" t="inlineStr">
        <is>
          <t>For his mash-up 'Smells Like Rockin' Robin,' DJ Mark Vidler layered Kurt Cobain's minor-key vocals over the Jackson 5's major-key blues progression _____ a technique that, by inserting the grunge singer's vocal melody as pitch-shifted 'blue notes', creates an intensified 'bluesy' sound.</t>
        </is>
      </c>
      <c r="E48" s="5" t="inlineStr">
        <is>
          <t>Which choice completes the text so that it conforms to the conventions of Standard English?</t>
        </is>
      </c>
      <c r="F48" s="5" t="inlineStr">
        <is>
          <t>A. Robin, a technique that
B. Robin. A technique that
C. Robin; a technique that,
D. Robin—a technique that,</t>
        </is>
      </c>
      <c r="G48" s="14" t="n"/>
      <c r="H48" s="7">
        <f>IF(ISBLANK(G48), "⏳ Chờ đáp án", IF(UPPER(TRIM(G48))="D", "✅ Đúng", "❌ Sai"))</f>
        <v/>
      </c>
      <c r="I48" s="14" t="n"/>
      <c r="J48" s="7">
        <f>IF(ISBLANK(I48), "", IF(UPPER(TRIM(I48))="D", "✅ Đúng", "❌ Sai"))</f>
        <v/>
      </c>
      <c r="K48" s="14" t="n"/>
      <c r="L48" s="7">
        <f>IF(ISBLANK(K48), "", IF(UPPER(TRIM(K48))="D", "✅ Đúng", "❌ Sai"))</f>
        <v/>
      </c>
      <c r="M48" s="7">
        <f>COUNTIF(H48, "❌ Sai") + COUNTIF(J48, "❌ Sai") + COUNTIF(L48, "❌ Sai")</f>
        <v/>
      </c>
      <c r="N48" s="7">
        <f>IF(ISBLANK(G48), "⏳ Chờ làm", IF(H48="✅ Đúng", "✅ Đúng ngay L1", IF(J48="✅ Đúng", "✅ Đúng ở L2", IF(L48="✅ Đúng", "✅ Đúng ở L3", "❌ Chưa đúng sau 3 lần"))))</f>
        <v/>
      </c>
      <c r="O48" s="13">
        <f>IF(ISBLANK(F48), "💡 Nhập đáp án vào Lần thử 1", IF(G48="✅ Đúng", "✨ Xuất sắc! Bạn đã làm đúng.", "💡 Gợi ý: " &amp; "Chú ý cấu trúc cặp dấu gạch ngang hoặc dấu phẩy bao quanh mệnh đề chú giải."))</f>
        <v/>
      </c>
      <c r="P48" s="5">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Q48" s="5">
        <f>IF(OR(H48="✅ Đúng", J48="✅ Đúng", L48="✅ Đúng"), "Dấu gạch ngang đơn dùng để nhấn mạnh cụm từ bổ nghĩa ở cuối câu.", "🔒 Trả lời đúng để mở khóa Strategic Tip!")</f>
        <v/>
      </c>
    </row>
    <row r="49" ht="15.75" customHeight="1" s="19">
      <c r="A49" s="7" t="inlineStr">
        <is>
          <t>M45</t>
        </is>
      </c>
      <c r="B49" s="7" t="inlineStr">
        <is>
          <t>Reading &amp; Writing Module 2</t>
        </is>
      </c>
      <c r="C49" s="5" t="inlineStr">
        <is>
          <t>Standard English Conventions (Prepositions)</t>
        </is>
      </c>
      <c r="D49" s="5" t="inlineStr">
        <is>
          <t>During the late nineteenth century, agricultural chemist George Washington Carver revolutionized farming practices in the American _____ promoting systematic crop rotation techniques that replenished essential nitrogen in depleted soils.</t>
        </is>
      </c>
      <c r="E49" s="5" t="inlineStr">
        <is>
          <t>Which choice completes the text so that it conforms to the conventions of Standard English?</t>
        </is>
      </c>
      <c r="F49" s="5" t="inlineStr">
        <is>
          <t>A. South, by
B. South by
C. South: by
D. South; by</t>
        </is>
      </c>
      <c r="G49" s="14" t="n"/>
      <c r="H49" s="7">
        <f>IF(ISBLANK(G49), "⏳ Chờ đáp án", IF(UPPER(TRIM(G49))="B", "✅ Đúng", "❌ Sai"))</f>
        <v/>
      </c>
      <c r="I49" s="14" t="n"/>
      <c r="J49" s="7">
        <f>IF(ISBLANK(I49), "", IF(UPPER(TRIM(I49))="B", "✅ Đúng", "❌ Sai"))</f>
        <v/>
      </c>
      <c r="K49" s="14" t="n"/>
      <c r="L49" s="7">
        <f>IF(ISBLANK(K49), "", IF(UPPER(TRIM(K49))="B", "✅ Đúng", "❌ Sai"))</f>
        <v/>
      </c>
      <c r="M49" s="7">
        <f>COUNTIF(H49, "❌ Sai") + COUNTIF(J49, "❌ Sai") + COUNTIF(L49, "❌ Sai")</f>
        <v/>
      </c>
      <c r="N49" s="7">
        <f>IF(ISBLANK(G49), "⏳ Chờ làm", IF(H49="✅ Đúng", "✅ Đúng ngay L1", IF(J49="✅ Đúng", "✅ Đúng ở L2", IF(L49="✅ Đúng", "✅ Đúng ở L3", "❌ Chưa đúng sau 3 lần"))))</f>
        <v/>
      </c>
      <c r="O49" s="13">
        <f>IF(ISBLANK(F49), "💡 Nhập đáp án vào Lần thử 1", IF(G49="✅ Đúng", "✨ Xuất sắc! Bạn đã làm đúng.", "💡 Gợi ý: " &amp; "Chọn giới từ đúng đi kèm với động từ/tính từ theo thói quen sử dụng chuẩn (collocation)."))</f>
        <v/>
      </c>
      <c r="P49" s="5">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Q49" s="5">
        <f>IF(OR(H49="✅ Đúng", J49="✅ Đúng", L49="✅ Đúng"), "Không đặt dấu phẩy ngăn cách trực tiếp trước giới từ chỉ phương thức.", "🔒 Trả lời đúng để mở khóa Strategic Tip!")</f>
        <v/>
      </c>
    </row>
    <row r="50" ht="15.75" customHeight="1" s="19">
      <c r="A50" s="7" t="inlineStr">
        <is>
          <t>M46</t>
        </is>
      </c>
      <c r="B50" s="7" t="inlineStr">
        <is>
          <t>Reading &amp; Writing Module 2</t>
        </is>
      </c>
      <c r="C50" s="5" t="inlineStr">
        <is>
          <t>Standard English Conventions (Participles)</t>
        </is>
      </c>
      <c r="D50" s="5" t="inlineStr">
        <is>
          <t>Named for the year in which it was detected by English astronomers, SN 2016aps was a supernova (the explosion of a massive star) _____ in the constellation Draco, 3.6 billion light-years from Earth, the powerful blast propelled particles into space.</t>
        </is>
      </c>
      <c r="E50" s="5" t="inlineStr">
        <is>
          <t>Which choice completes the text so that it conforms to the conventions of Standard English?</t>
        </is>
      </c>
      <c r="F50" s="5" t="inlineStr">
        <is>
          <t>A. star). Occurring
B. star) occurring
C. star) and occurring
D. star), occurring</t>
        </is>
      </c>
      <c r="G50" s="14" t="n"/>
      <c r="H50" s="7">
        <f>IF(ISBLANK(G50), "⏳ Chờ đáp án", IF(UPPER(TRIM(G50))="A", "✅ Đúng", "❌ Sai"))</f>
        <v/>
      </c>
      <c r="I50" s="14" t="n"/>
      <c r="J50" s="7">
        <f>IF(ISBLANK(I50), "", IF(UPPER(TRIM(I50))="A", "✅ Đúng", "❌ Sai"))</f>
        <v/>
      </c>
      <c r="K50" s="14" t="n"/>
      <c r="L50" s="7">
        <f>IF(ISBLANK(K50), "", IF(UPPER(TRIM(K50))="A", "✅ Đúng", "❌ Sai"))</f>
        <v/>
      </c>
      <c r="M50" s="7">
        <f>COUNTIF(H50, "❌ Sai") + COUNTIF(J50, "❌ Sai") + COUNTIF(L50, "❌ Sai")</f>
        <v/>
      </c>
      <c r="N50" s="7">
        <f>IF(ISBLANK(G50), "⏳ Chờ làm", IF(H50="✅ Đúng", "✅ Đúng ngay L1", IF(J50="✅ Đúng", "✅ Đúng ở L2", IF(L50="✅ Đúng", "✅ Đúng ở L3", "❌ Chưa đúng sau 3 lần"))))</f>
        <v/>
      </c>
      <c r="O50" s="13">
        <f>IF(ISBLANK(F50), "💡 Nhập đáp án vào Lần thử 1", IF(G50="✅ Đúng", "✨ Xuất sắc! Bạn đã làm đúng.", "💡 Gợi ý: " &amp; "Xác định xem danh từ cần phân từ đóng vai trò chủ thể thực hiện hay đối tượng chịu tác động."))</f>
        <v/>
      </c>
      <c r="P50" s="5">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Q50" s="5">
        <f>IF(OR(H50="✅ Đúng", J50="✅ Đúng", L50="✅ Đúng"), "Tránh lỗi Comma Splice bằng cách kết thúc câu bằng dấu chấm.", "🔒 Trả lời đúng để mở khóa Strategic Tip!")</f>
        <v/>
      </c>
    </row>
    <row r="51" ht="15.75" customHeight="1" s="19">
      <c r="A51" s="7" t="inlineStr">
        <is>
          <t>M47</t>
        </is>
      </c>
      <c r="B51" s="7" t="inlineStr">
        <is>
          <t>Reading &amp; Writing Module 2</t>
        </is>
      </c>
      <c r="C51" s="5" t="inlineStr">
        <is>
          <t>Standard English Conventions (Dangling Modifiers)</t>
        </is>
      </c>
      <c r="D51" s="5" t="inlineStr">
        <is>
          <t xml:space="preserve">Originating during the Cretaceous period, _____ </t>
        </is>
      </c>
      <c r="E51" s="5" t="inlineStr">
        <is>
          <t>Which choice completes the text so that it conforms to the conventions of Standard English?</t>
        </is>
      </c>
      <c r="F51" s="5" t="inlineStr">
        <is>
          <t>A. entomologists have extensively examined fossilized resin deposits...
B. the fossilized amber specimens excavated in northern Myanmar preserve anatomical details of early arthropods.
C. paleontological excavation in northern Myanmar has uncovered...
D. arthropods were trapped and entombed within sticky conifer secretion...</t>
        </is>
      </c>
      <c r="G51" s="14" t="n"/>
      <c r="H51" s="7">
        <f>IF(ISBLANK(G51), "⏳ Chờ đáp án", IF(UPPER(TRIM(G51))="B", "✅ Đúng", "❌ Sai"))</f>
        <v/>
      </c>
      <c r="I51" s="14" t="n"/>
      <c r="J51" s="7">
        <f>IF(ISBLANK(I51), "", IF(UPPER(TRIM(I51))="B", "✅ Đúng", "❌ Sai"))</f>
        <v/>
      </c>
      <c r="K51" s="14" t="n"/>
      <c r="L51" s="7">
        <f>IF(ISBLANK(K51), "", IF(UPPER(TRIM(K51))="B", "✅ Đúng", "❌ Sai"))</f>
        <v/>
      </c>
      <c r="M51" s="7">
        <f>COUNTIF(H51, "❌ Sai") + COUNTIF(J51, "❌ Sai") + COUNTIF(L51, "❌ Sai")</f>
        <v/>
      </c>
      <c r="N51" s="7">
        <f>IF(ISBLANK(G51), "⏳ Chờ làm", IF(H51="✅ Đúng", "✅ Đúng ngay L1", IF(J51="✅ Đúng", "✅ Đúng ở L2", IF(L51="✅ Đúng", "✅ Đúng ở L3", "❌ Chưa đúng sau 3 lần"))))</f>
        <v/>
      </c>
      <c r="O51" s="13">
        <f>IF(ISBLANK(F51), "💡 Nhập đáp án vào Lần thử 1", IF(G51="✅ Đúng", "✨ Xuất sắc! Bạn đã làm đúng.", "💡 Gợi ý: " &amp; "Đảm bảo chủ ngữ của mệnh đề chính là entity trực tiếp thực hiện hành động ở cụm mở đầu."))</f>
        <v/>
      </c>
      <c r="P51" s="5">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Q51" s="5">
        <f>IF(OR(H51="✅ Đúng", J51="✅ Đúng", L51="✅ Đúng"), "Bổ ngữ chỉ thời đại/nguồn gốc phải đi liền với danh từ hổ phách/hóa thạch.", "🔒 Trả lời đúng để mở khóa Strategic Tip!")</f>
        <v/>
      </c>
    </row>
    <row r="52" ht="15.75" customHeight="1" s="19">
      <c r="A52" s="7" t="inlineStr">
        <is>
          <t>M48</t>
        </is>
      </c>
      <c r="B52" s="7" t="inlineStr">
        <is>
          <t>Reading &amp; Writing Module 2</t>
        </is>
      </c>
      <c r="C52" s="5" t="inlineStr">
        <is>
          <t>Transitions (Contrast)</t>
        </is>
      </c>
      <c r="D52" s="5" t="inlineStr">
        <is>
          <t>In a 1993 study by Vales and Peek, the researchers used microhistological fecal analysis to determine the ratio of three plant subtypes... The researchers did not perform this analysis on all such ungulates, _____ they focused exclusively on elk in Wyoming.</t>
        </is>
      </c>
      <c r="E52" s="5" t="inlineStr">
        <is>
          <t>Which choice completes the text with the most logical transition?</t>
        </is>
      </c>
      <c r="F52" s="5" t="inlineStr">
        <is>
          <t>A. for instance;
B. in other words;
C. regardless;
D. however;</t>
        </is>
      </c>
      <c r="G52" s="14" t="n"/>
      <c r="H52" s="7">
        <f>IF(ISBLANK(G52), "⏳ Chờ đáp án", IF(UPPER(TRIM(G52))="C", "✅ Đúng", "❌ Sai"))</f>
        <v/>
      </c>
      <c r="I52" s="14" t="n"/>
      <c r="J52" s="7">
        <f>IF(ISBLANK(I52), "", IF(UPPER(TRIM(I52))="C", "✅ Đúng", "❌ Sai"))</f>
        <v/>
      </c>
      <c r="K52" s="14" t="n"/>
      <c r="L52" s="7">
        <f>IF(ISBLANK(K52), "", IF(UPPER(TRIM(K52))="C", "✅ Đúng", "❌ Sai"))</f>
        <v/>
      </c>
      <c r="M52" s="7">
        <f>COUNTIF(H52, "❌ Sai") + COUNTIF(J52, "❌ Sai") + COUNTIF(L52, "❌ Sai")</f>
        <v/>
      </c>
      <c r="N52" s="7">
        <f>IF(ISBLANK(G52), "⏳ Chờ làm", IF(H52="✅ Đúng", "✅ Đúng ngay L1", IF(J52="✅ Đúng", "✅ Đúng ở L2", IF(L52="✅ Đúng", "✅ Đúng ở L3", "❌ Chưa đúng sau 3 lần"))))</f>
        <v/>
      </c>
      <c r="O52" s="13">
        <f>IF(ISBLANK(F52), "💡 Nhập đáp án vào Lần thử 1", IF(G52="✅ Đúng", "✨ Xuất sắc! Bạn đã làm đúng.", "💡 Gợi ý: " &amp; "Xác định xem hai câu có mối quan hệ tương phản hay bổ sung ý nghĩa để chọn từ nối phù hợp."))</f>
        <v/>
      </c>
      <c r="P52" s="5">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Q52" s="5">
        <f>IF(OR(H52="✅ Đúng", J52="✅ Đúng", L52="✅ Đúng"), "However = dùng để đối lập giữa giả định chung và phạm vi hẹp thực tế.", "🔒 Trả lời đúng để mở khóa Strategic Tip!")</f>
        <v/>
      </c>
    </row>
    <row r="53" ht="15.75" customHeight="1" s="19">
      <c r="A53" s="7" t="inlineStr">
        <is>
          <t>M49</t>
        </is>
      </c>
      <c r="B53" s="7" t="inlineStr">
        <is>
          <t>Reading &amp; Writing Module 2</t>
        </is>
      </c>
      <c r="C53" s="5" t="inlineStr">
        <is>
          <t>Transitions (Illustration / Exemplification)</t>
        </is>
      </c>
      <c r="D53" s="5" t="inlineStr">
        <is>
          <t>The Hornbostel-Sachs system classifies musical instruments by how they produce sound. For example, an instrument that is popular in India called the saraswati veena produces sound primarily through the vibration of its strings. _____ under the Hornbostel-Sachs system, the saraswati veena is a chordophone.</t>
        </is>
      </c>
      <c r="E53" s="5" t="inlineStr">
        <is>
          <t>Which choice completes the text with the most logical transition?</t>
        </is>
      </c>
      <c r="F53" s="5" t="inlineStr">
        <is>
          <t>A. Furthermore,
B. Thus,
C. Similarly,
D. Instead,</t>
        </is>
      </c>
      <c r="G53" s="14" t="n"/>
      <c r="H53" s="7">
        <f>IF(ISBLANK(G53), "⏳ Chờ đáp án", IF(UPPER(TRIM(G53))="B", "✅ Đúng", "❌ Sai"))</f>
        <v/>
      </c>
      <c r="I53" s="14" t="n"/>
      <c r="J53" s="7">
        <f>IF(ISBLANK(I53), "", IF(UPPER(TRIM(I53))="B", "✅ Đúng", "❌ Sai"))</f>
        <v/>
      </c>
      <c r="K53" s="14" t="n"/>
      <c r="L53" s="7">
        <f>IF(ISBLANK(K53), "", IF(UPPER(TRIM(K53))="B", "✅ Đúng", "❌ Sai"))</f>
        <v/>
      </c>
      <c r="M53" s="7">
        <f>COUNTIF(H53, "❌ Sai") + COUNTIF(J53, "❌ Sai") + COUNTIF(L53, "❌ Sai")</f>
        <v/>
      </c>
      <c r="N53" s="7">
        <f>IF(ISBLANK(G53), "⏳ Chờ làm", IF(H53="✅ Đúng", "✅ Đúng ngay L1", IF(J53="✅ Đúng", "✅ Đúng ở L2", IF(L53="✅ Đúng", "✅ Đúng ở L3", "❌ Chưa đúng sau 3 lần"))))</f>
        <v/>
      </c>
      <c r="O53" s="13">
        <f>IF(ISBLANK(F53), "💡 Nhập đáp án vào Lần thử 1", IF(G53="✅ Đúng", "✨ Xuất sắc! Bạn đã làm đúng.", "💡 Gợi ý: " &amp; "Kiểm tra xem câu sau có phải là một ví dụ cụ thể minh họa cho nhận định ở câu trước hay không."))</f>
        <v/>
      </c>
      <c r="P53" s="5">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Q53" s="5">
        <f>IF(OR(H53="✅ Đúng", J53="✅ Đúng", L53="✅ Đúng"), "Thus = kết luận logic rút ra từ định nghĩa trước đó.", "🔒 Trả lời đúng để mở khóa Strategic Tip!")</f>
        <v/>
      </c>
    </row>
    <row r="54" ht="15.75" customHeight="1" s="19">
      <c r="A54" s="7" t="inlineStr">
        <is>
          <t>M50</t>
        </is>
      </c>
      <c r="B54" s="7" t="inlineStr">
        <is>
          <t>Reading &amp; Writing Module 2</t>
        </is>
      </c>
      <c r="C54" s="5" t="inlineStr">
        <is>
          <t>Transitions (Comparison / Contrast)</t>
        </is>
      </c>
      <c r="D54" s="5" t="inlineStr">
        <is>
          <t>Generally, sleek vehicles are more aerodynamic than bulkier ones. The streamlined nose of the Airbus A350 XWB jet helps it glide through wind with relative ease, _____ a boxy pickup truck encounters more wind resistance.</t>
        </is>
      </c>
      <c r="E54" s="5" t="inlineStr">
        <is>
          <t>Which choice completes the text with the most logical transition?</t>
        </is>
      </c>
      <c r="F54" s="5" t="inlineStr">
        <is>
          <t>A. additionally,
B. however,
C. for example,
D. meanwhile,</t>
        </is>
      </c>
      <c r="G54" s="14" t="n"/>
      <c r="H54" s="7">
        <f>IF(ISBLANK(G54), "⏳ Chờ đáp án", IF(UPPER(TRIM(G54))="C", "✅ Đúng", "❌ Sai"))</f>
        <v/>
      </c>
      <c r="I54" s="14" t="n"/>
      <c r="J54" s="7">
        <f>IF(ISBLANK(I54), "", IF(UPPER(TRIM(I54))="C", "✅ Đúng", "❌ Sai"))</f>
        <v/>
      </c>
      <c r="K54" s="14" t="n"/>
      <c r="L54" s="7">
        <f>IF(ISBLANK(K54), "", IF(UPPER(TRIM(K54))="C", "✅ Đúng", "❌ Sai"))</f>
        <v/>
      </c>
      <c r="M54" s="7">
        <f>COUNTIF(H54, "❌ Sai") + COUNTIF(J54, "❌ Sai") + COUNTIF(L54, "❌ Sai")</f>
        <v/>
      </c>
      <c r="N54" s="7">
        <f>IF(ISBLANK(G54), "⏳ Chờ làm", IF(H54="✅ Đúng", "✅ Đúng ngay L1", IF(J54="✅ Đúng", "✅ Đúng ở L2", IF(L54="✅ Đúng", "✅ Đúng ở L3", "❌ Chưa đúng sau 3 lần"))))</f>
        <v/>
      </c>
      <c r="O54" s="13">
        <f>IF(ISBLANK(F54), "💡 Nhập đáp án vào Lần thử 1", IF(G54="✅ Đúng", "✨ Xuất sắc! Bạn đã làm đúng.", "💡 Gợi ý: " &amp; "Phân tích mối tương quan giữa hai phương pháp để chọn từ nối mang ý nghĩa so sánh/đối lập."))</f>
        <v/>
      </c>
      <c r="P54" s="5">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Q54" s="5">
        <f>IF(OR(H54="✅ Đúng", J54="✅ Đúng", L54="✅ Đúng"), "Meanwhile / whereas = nối hai vế đối lập song song.", "🔒 Trả lời đúng để mở khóa Strategic Tip!")</f>
        <v/>
      </c>
    </row>
    <row r="55" ht="15.75" customHeight="1" s="19">
      <c r="A55" s="7" t="inlineStr">
        <is>
          <t>M51</t>
        </is>
      </c>
      <c r="B55" s="7" t="inlineStr">
        <is>
          <t>Reading &amp; Writing Module 2</t>
        </is>
      </c>
      <c r="C55" s="5" t="inlineStr">
        <is>
          <t>Transitions (Emphasis)</t>
        </is>
      </c>
      <c r="D55" s="5" t="inlineStr">
        <is>
          <t>On June 13, 1927, aviator Charles Lindbergh received a ticker-tape parade in New York City... Of the 206 ticker-tape parades held between 1886 and 2022, a number were for achievements in aviation. _____ Lindbergh's parade was just one of 16 honoring pilots.</t>
        </is>
      </c>
      <c r="E55" s="5" t="inlineStr">
        <is>
          <t>Which choice completes the text with the most logical transition?</t>
        </is>
      </c>
      <c r="F55" s="5" t="inlineStr">
        <is>
          <t>A. Indeed,
B. In addition,
C. Indeed,
D. Nevertheless,</t>
        </is>
      </c>
      <c r="G55" s="14" t="n"/>
      <c r="H55" s="7">
        <f>IF(ISBLANK(G55), "⏳ Chờ đáp án", IF(UPPER(TRIM(G55))="B", "✅ Đúng", "❌ Sai"))</f>
        <v/>
      </c>
      <c r="I55" s="14" t="n"/>
      <c r="J55" s="7">
        <f>IF(ISBLANK(I55), "", IF(UPPER(TRIM(I55))="B", "✅ Đúng", "❌ Sai"))</f>
        <v/>
      </c>
      <c r="K55" s="14" t="n"/>
      <c r="L55" s="7">
        <f>IF(ISBLANK(K55), "", IF(UPPER(TRIM(K55))="B", "✅ Đúng", "❌ Sai"))</f>
        <v/>
      </c>
      <c r="M55" s="7">
        <f>COUNTIF(H55, "❌ Sai") + COUNTIF(J55, "❌ Sai") + COUNTIF(L55, "❌ Sai")</f>
        <v/>
      </c>
      <c r="N55" s="7">
        <f>IF(ISBLANK(G55), "⏳ Chờ làm", IF(H55="✅ Đúng", "✅ Đúng ngay L1", IF(J55="✅ Đúng", "✅ Đúng ở L2", IF(L55="✅ Đúng", "✅ Đúng ở L3", "❌ Chưa đúng sau 3 lần"))))</f>
        <v/>
      </c>
      <c r="O55" s="13">
        <f>IF(ISBLANK(F55), "💡 Nhập đáp án vào Lần thử 1", IF(G55="✅ Đúng", "✨ Xuất sắc! Bạn đã làm đúng.", "💡 Gợi ý: " &amp; "Chọn từ nối thể hiện mức độ nhấn mạnh hoặc khẳng định phù hợp với ngữ cảnh."))</f>
        <v/>
      </c>
      <c r="P55" s="5">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Q55" s="5">
        <f>IF(OR(H55="✅ Đúng", J55="✅ Đúng", L55="✅ Đúng"), "Indeed = dùng để nhấn mạnh/xác nhận thông tin trước.", "🔒 Trả lời đúng để mở khóa Strategic Tip!")</f>
        <v/>
      </c>
    </row>
    <row r="56" ht="15.75" customHeight="1" s="19">
      <c r="A56" s="7" t="inlineStr">
        <is>
          <t>M52</t>
        </is>
      </c>
      <c r="B56" s="7" t="inlineStr">
        <is>
          <t>Reading &amp; Writing Module 2</t>
        </is>
      </c>
      <c r="C56" s="5" t="inlineStr">
        <is>
          <t>Transitions (Contrast &amp; Context)</t>
        </is>
      </c>
      <c r="D56" s="5" t="inlineStr">
        <is>
          <t>Between February 1876 and September 1876, George Eliot's novel Daniel Deronda was serialized in eight parts... Scholars typically regard the serial version as less authoritative than the book version. _____ as scholar Philip Allingham notes, serialized texts were the versions in which nineteenth-century readership first saw itself reflected.</t>
        </is>
      </c>
      <c r="E56" s="5" t="inlineStr">
        <is>
          <t>Which choice completes the text with the most logical transition?</t>
        </is>
      </c>
      <c r="F56" s="5" t="inlineStr">
        <is>
          <t>A. Accordingly, they emphasize...
B. Still, the serial version is important to an understanding of the novel's historical context;
C. Consequently, the book version...
D. However, others regard...</t>
        </is>
      </c>
      <c r="G56" s="14" t="n"/>
      <c r="H56" s="7">
        <f>IF(ISBLANK(G56), "⏳ Chờ đáp án", IF(UPPER(TRIM(G56))="B", "✅ Đúng", "❌ Sai"))</f>
        <v/>
      </c>
      <c r="I56" s="14" t="n"/>
      <c r="J56" s="7">
        <f>IF(ISBLANK(I56), "", IF(UPPER(TRIM(I56))="B", "✅ Đúng", "❌ Sai"))</f>
        <v/>
      </c>
      <c r="K56" s="14" t="n"/>
      <c r="L56" s="7">
        <f>IF(ISBLANK(K56), "", IF(UPPER(TRIM(K56))="B", "✅ Đúng", "❌ Sai"))</f>
        <v/>
      </c>
      <c r="M56" s="7">
        <f>COUNTIF(H56, "❌ Sai") + COUNTIF(J56, "❌ Sai") + COUNTIF(L56, "❌ Sai")</f>
        <v/>
      </c>
      <c r="N56" s="7">
        <f>IF(ISBLANK(G56), "⏳ Chờ làm", IF(H56="✅ Đúng", "✅ Đúng ngay L1", IF(J56="✅ Đúng", "✅ Đúng ở L2", IF(L56="✅ Đúng", "✅ Đúng ở L3", "❌ Chưa đúng sau 3 lần"))))</f>
        <v/>
      </c>
      <c r="O56" s="13">
        <f>IF(ISBLANK(F56), "💡 Nhập đáp án vào Lần thử 1", IF(G56="✅ Đúng", "✨ Xuất sắc! Bạn đã làm đúng.", "💡 Gợi ý: " &amp; "Xác định vai trò của câu sau trong việc chuyển tiếp ý tưởng từ bối cảnh sang thực tế."))</f>
        <v/>
      </c>
      <c r="P56" s="5">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Q56" s="5">
        <f>IF(OR(H56="✅ Đúng", J56="✅ Đúng", L56="✅ Đúng"), "Still = tuy nhiên, chuyển hướng sang khía cạnh tích cực khác.", "🔒 Trả lời đúng để mở khóa Strategic Tip!")</f>
        <v/>
      </c>
    </row>
    <row r="57" ht="15.75" customHeight="1" s="19">
      <c r="A57" s="7" t="inlineStr">
        <is>
          <t>M53</t>
        </is>
      </c>
      <c r="B57" s="7" t="inlineStr">
        <is>
          <t>Reading &amp; Writing Module 2</t>
        </is>
      </c>
      <c r="C57" s="5" t="inlineStr">
        <is>
          <t>Rhetorical Synthesis / Student Notes</t>
        </is>
      </c>
      <c r="D57" s="5" t="inlineStr">
        <is>
          <t>Notes: Highpointers Club aims to reach the highest points in 50 US states (50 Completers). In Suk Han completed this on Nov 15, 2013. Timms Hill in Wisconsin (1,951 ft), Gannett Peak in Wyoming (13,809 ft).</t>
        </is>
      </c>
      <c r="E57" s="5" t="inlineStr">
        <is>
          <t>Which choice most effectively uses information from the given sentences to explain the 50 Completers hiking challenge to a new audience?</t>
        </is>
      </c>
      <c r="F57" s="5" t="inlineStr">
        <is>
          <t>A. If you are looking for a new hiking challenge, consider joining...
B. Not until after you have reached the highest points in all fifty US states—including Timms Hill in Wisconsin and Gannett Peak in Wyoming—can you include yourself among the 50 Completers of the Highpointers Club.
C. On November 15, 2013, In Suk Han finally completed...
D. Hikers aiming to count themselves among the 50 Completers...</t>
        </is>
      </c>
      <c r="G57" s="14" t="n"/>
      <c r="H57" s="7">
        <f>IF(ISBLANK(G57), "⏳ Chờ đáp án", IF(UPPER(TRIM(G57))="B", "✅ Đúng", "❌ Sai"))</f>
        <v/>
      </c>
      <c r="I57" s="14" t="n"/>
      <c r="J57" s="7">
        <f>IF(ISBLANK(I57), "", IF(UPPER(TRIM(I57))="B", "✅ Đúng", "❌ Sai"))</f>
        <v/>
      </c>
      <c r="K57" s="14" t="n"/>
      <c r="L57" s="7">
        <f>IF(ISBLANK(K57), "", IF(UPPER(TRIM(K57))="B", "✅ Đúng", "❌ Sai"))</f>
        <v/>
      </c>
      <c r="M57" s="7">
        <f>COUNTIF(H57, "❌ Sai") + COUNTIF(J57, "❌ Sai") + COUNTIF(L57, "❌ Sai")</f>
        <v/>
      </c>
      <c r="N57" s="7">
        <f>IF(ISBLANK(G57), "⏳ Chờ làm", IF(H57="✅ Đúng", "✅ Đúng ngay L1", IF(J57="✅ Đúng", "✅ Đúng ở L2", IF(L57="✅ Đúng", "✅ Đúng ở L3", "❌ Chưa đúng sau 3 lần"))))</f>
        <v/>
      </c>
      <c r="O57" s="13">
        <f>IF(ISBLANK(F57), "💡 Nhập đáp án vào Lần thử 1", IF(G57="✅ Đúng", "✨ Xuất sắc! Bạn đã làm đúng.", "💡 Gợi ý: " &amp; "Đọc kỹ yêu cầu đề bài để chọn câu ghi chú tập trung đúng vào điểm khác biệt chính."))</f>
        <v/>
      </c>
      <c r="P57" s="5">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Q57" s="5">
        <f>IF(OR(H57="✅ Đúng", J57="✅ Đúng", L57="✅ Đúng"), "Giải thích thử thách = Nêu điều kiện hoàn thành + Ví dụ các đỉnh núi.", "🔒 Trả lời đúng để mở khóa Strategic Tip!")</f>
        <v/>
      </c>
    </row>
    <row r="58" ht="15.75" customHeight="1" s="19">
      <c r="A58" s="7" t="inlineStr">
        <is>
          <t>M54</t>
        </is>
      </c>
      <c r="B58" s="7" t="inlineStr">
        <is>
          <t>Reading &amp; Writing Module 2</t>
        </is>
      </c>
      <c r="C58" s="5" t="inlineStr">
        <is>
          <t>Rhetorical Synthesis / Student Notes</t>
        </is>
      </c>
      <c r="D58" s="5" t="inlineStr">
        <is>
          <t>Notes: Enhanced rock weathering (ERW) spreads crushed basalt on farmland to capture CO2 and improve soil health. ERW is low-cost, low-tech compared to expensive energy-intensive methods. CO2 becomes stable bicarbonate in soil water flowing to oceans.</t>
        </is>
      </c>
      <c r="E58" s="5" t="inlineStr">
        <is>
          <t>The student wants to explain why ERW is a superior method for capturing CO2. Which choice most effectively uses relevant information from the notes to accomplish this goal?</t>
        </is>
      </c>
      <c r="F58" s="5" t="inlineStr">
        <is>
          <t>A. ERW improves soil health and helps farmers increase their income...
B. ERW removes CO2 from the air in a way that is both low-cost and low-tech.
C. CO2 captured by ERW becomes stable bicarbonate...
D. ERW is a method of spreading crushed basalt on farmland...</t>
        </is>
      </c>
      <c r="G58" s="14" t="n"/>
      <c r="H58" s="7">
        <f>IF(ISBLANK(G58), "⏳ Chờ đáp án", IF(UPPER(TRIM(G58))="B", "✅ Đúng", "❌ Sai"))</f>
        <v/>
      </c>
      <c r="I58" s="14" t="n"/>
      <c r="J58" s="7">
        <f>IF(ISBLANK(I58), "", IF(UPPER(TRIM(I58))="B", "✅ Đúng", "❌ Sai"))</f>
        <v/>
      </c>
      <c r="K58" s="14" t="n"/>
      <c r="L58" s="7">
        <f>IF(ISBLANK(K58), "", IF(UPPER(TRIM(K58))="B", "✅ Đúng", "❌ Sai"))</f>
        <v/>
      </c>
      <c r="M58" s="7">
        <f>COUNTIF(H58, "❌ Sai") + COUNTIF(J58, "❌ Sai") + COUNTIF(L58, "❌ Sai")</f>
        <v/>
      </c>
      <c r="N58" s="7">
        <f>IF(ISBLANK(G58), "⏳ Chờ làm", IF(H58="✅ Đúng", "✅ Đúng ngay L1", IF(J58="✅ Đúng", "✅ Đúng ở L2", IF(L58="✅ Đúng", "✅ Đúng ở L3", "❌ Chưa đúng sau 3 lần"))))</f>
        <v/>
      </c>
      <c r="O58" s="13">
        <f>IF(ISBLANK(F58), "💡 Nhập đáp án vào Lần thử 1", IF(G58="✅ Đúng", "✨ Xuất sắc! Bạn đã làm đúng.", "💡 Gợi ý: " &amp; "Chọn ghi chú đáp ứng trực tiếp mục tiêu của học sinh mà không đưa thêm thông tin ngoài lề."))</f>
        <v/>
      </c>
      <c r="P58" s="5">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Q58" s="5">
        <f>IF(OR(H58="✅ Đúng", J58="✅ Đúng", L58="✅ Đúng"), "Chỉ ra điểm vượt trội trực tiếp: 'low-cost and low-tech alternative'.", "🔒 Trả lời đúng để mở khóa Strategic Tip!")</f>
        <v/>
      </c>
    </row>
    <row r="59" ht="15.75" customHeight="1" s="19">
      <c r="A59" s="7" t="inlineStr">
        <is>
          <t>M55</t>
        </is>
      </c>
      <c r="B59" s="7" t="inlineStr">
        <is>
          <t>Math Module 1</t>
        </is>
      </c>
      <c r="C59" s="5" t="inlineStr">
        <is>
          <t>Linear Functions &amp; Evaluation</t>
        </is>
      </c>
      <c r="D59" s="5" t="inlineStr">
        <is>
          <t>The function h is defined by h(x) = 100x - 50.</t>
        </is>
      </c>
      <c r="E59" s="5" t="inlineStr">
        <is>
          <t>Calculator Allowed. What is the value of h(x) when x = 6?</t>
        </is>
      </c>
      <c r="F59" s="5" t="inlineStr">
        <is>
          <t>A. 56
B. 156
C. 550
D. 650</t>
        </is>
      </c>
      <c r="G59" s="14" t="n"/>
      <c r="H59" s="7">
        <f>IF(ISBLANK(G59), "⏳ Chờ đáp án", IF(UPPER(TRIM(G59))="C", "✅ Đúng", "❌ Sai"))</f>
        <v/>
      </c>
      <c r="I59" s="14" t="n"/>
      <c r="J59" s="7">
        <f>IF(ISBLANK(I59), "", IF(UPPER(TRIM(I59))="C", "✅ Đúng", "❌ Sai"))</f>
        <v/>
      </c>
      <c r="K59" s="14" t="n"/>
      <c r="L59" s="7">
        <f>IF(ISBLANK(K59), "", IF(UPPER(TRIM(K59))="C", "✅ Đúng", "❌ Sai"))</f>
        <v/>
      </c>
      <c r="M59" s="7">
        <f>COUNTIF(H59, "❌ Sai") + COUNTIF(J59, "❌ Sai") + COUNTIF(L59, "❌ Sai")</f>
        <v/>
      </c>
      <c r="N59" s="7">
        <f>IF(ISBLANK(G59), "⏳ Chờ làm", IF(H59="✅ Đúng", "✅ Đúng ngay L1", IF(J59="✅ Đúng", "✅ Đúng ở L2", IF(L59="✅ Đúng", "✅ Đúng ở L3", "❌ Chưa đúng sau 3 lần"))))</f>
        <v/>
      </c>
      <c r="O59" s="13">
        <f>IF(ISBLANK(F59), "💡 Nhập đáp án vào Lần thử 1", IF(G59="✅ Đúng", "✨ Xuất sắc! Bạn đã làm đúng.", "💡 Gợi ý: " &amp; "Thay giá trị x đã cho vào biểu thức hàm số và thực hiện phép tính theo thứ tự ưu tiên."))</f>
        <v/>
      </c>
      <c r="P59" s="5">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Q59" s="5">
        <f>IF(OR(H59="✅ Đúng", J59="✅ Đúng", L59="✅ Đúng"), "Linear Function Evaluation: h(6) = 100(6) - 50 = 550.", "🔒 Trả lời đúng để mở khóa Strategic Tip!")</f>
        <v/>
      </c>
    </row>
    <row r="60" ht="15.75" customHeight="1" s="19">
      <c r="A60" s="7" t="inlineStr">
        <is>
          <t>M56</t>
        </is>
      </c>
      <c r="B60" s="7" t="inlineStr">
        <is>
          <t>Math Module 1</t>
        </is>
      </c>
      <c r="C60" s="5" t="inlineStr">
        <is>
          <t>Linear Graph Interpretation (y-intercept)</t>
        </is>
      </c>
      <c r="D60" s="5" t="inlineStr">
        <is>
          <t>The graph shown gives the estimated value, in dollars, of a mountain bike as a function of the number of months since it was purchased. The line intersects the y-axis at (0, 275).</t>
        </is>
      </c>
      <c r="E60" s="5" t="inlineStr">
        <is>
          <t>Calculator Allowed. What is the best interpretation of the y-intercept of the graph in this context?</t>
        </is>
      </c>
      <c r="F60" s="5" t="inlineStr">
        <is>
          <t>A. The estimated value of the bike was 275 dollars when it was purchased.
B. The estimated value of the bike 24 months after purchase was 275 dollars.
C. The estimated value decreased by 275 dollars in 24 months.
D. The estimated value decreased by 2.75% each year.</t>
        </is>
      </c>
      <c r="G60" s="14" t="n"/>
      <c r="H60" s="7">
        <f>IF(ISBLANK(G60), "⏳ Chờ đáp án", IF(UPPER(TRIM(G60))="A", "✅ Đúng", "❌ Sai"))</f>
        <v/>
      </c>
      <c r="I60" s="14" t="n"/>
      <c r="J60" s="7">
        <f>IF(ISBLANK(I60), "", IF(UPPER(TRIM(I60))="A", "✅ Đúng", "❌ Sai"))</f>
        <v/>
      </c>
      <c r="K60" s="14" t="n"/>
      <c r="L60" s="7">
        <f>IF(ISBLANK(K60), "", IF(UPPER(TRIM(K60))="A", "✅ Đúng", "❌ Sai"))</f>
        <v/>
      </c>
      <c r="M60" s="7">
        <f>COUNTIF(H60, "❌ Sai") + COUNTIF(J60, "❌ Sai") + COUNTIF(L60, "❌ Sai")</f>
        <v/>
      </c>
      <c r="N60" s="7">
        <f>IF(ISBLANK(G60), "⏳ Chờ làm", IF(H60="✅ Đúng", "✅ Đúng ngay L1", IF(J60="✅ Đúng", "✅ Đúng ở L2", IF(L60="✅ Đúng", "✅ Đúng ở L3", "❌ Chưa đúng sau 3 lần"))))</f>
        <v/>
      </c>
      <c r="O60" s="13">
        <f>IF(ISBLANK(F60), "💡 Nhập đáp án vào Lần thử 1", IF(G60="✅ Đúng", "✨ Xuất sắc! Bạn đã làm đúng.", "💡 Gợi ý: " &amp; "Xác định ý nghĩa của tung độ gốc (y-intercept) trên đồ thị ứng với giá trị biến độc lập bằng 0."))</f>
        <v/>
      </c>
      <c r="P60" s="5">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Q60" s="5">
        <f>IF(OR(H60="✅ Đúng", J60="✅ Đúng", L60="✅ Đúng"), "y-intercept (0, b) represents the initial value at time t = 0.", "🔒 Trả lời đúng để mở khóa Strategic Tip!")</f>
        <v/>
      </c>
    </row>
    <row r="61" ht="15.75" customHeight="1" s="19">
      <c r="A61" s="7" t="inlineStr">
        <is>
          <t>M57</t>
        </is>
      </c>
      <c r="B61" s="7" t="inlineStr">
        <is>
          <t>Math Module 1</t>
        </is>
      </c>
      <c r="C61" s="5" t="inlineStr">
        <is>
          <t>Percentages &amp; Basic Calculations</t>
        </is>
      </c>
      <c r="D61" s="5" t="inlineStr">
        <is>
          <t>Out of 200 attempts, 55% were successful.</t>
        </is>
      </c>
      <c r="E61" s="5" t="inlineStr">
        <is>
          <t>Calculator Allowed. How many of these attempts were successful?</t>
        </is>
      </c>
      <c r="F61" s="5" t="inlineStr">
        <is>
          <t>Student-Produced Response (Grid-in). Enter the exact integer.</t>
        </is>
      </c>
      <c r="G61" s="14" t="n"/>
      <c r="H61" s="7">
        <f>IF(ISBLANK(G61), "⏳ Chờ đáp án", IF(UPPER(TRIM(G61))="110", "✅ Đúng", "❌ Sai"))</f>
        <v/>
      </c>
      <c r="I61" s="14" t="n"/>
      <c r="J61" s="7">
        <f>IF(ISBLANK(I61), "", IF(UPPER(TRIM(I61))="110", "✅ Đúng", "❌ Sai"))</f>
        <v/>
      </c>
      <c r="K61" s="14" t="n"/>
      <c r="L61" s="7">
        <f>IF(ISBLANK(K61), "", IF(UPPER(TRIM(K61))="110", "✅ Đúng", "❌ Sai"))</f>
        <v/>
      </c>
      <c r="M61" s="7">
        <f>COUNTIF(H61, "❌ Sai") + COUNTIF(J61, "❌ Sai") + COUNTIF(L61, "❌ Sai")</f>
        <v/>
      </c>
      <c r="N61" s="7">
        <f>IF(ISBLANK(G61), "⏳ Chờ làm", IF(H61="✅ Đúng", "✅ Đúng ngay L1", IF(J61="✅ Đúng", "✅ Đúng ở L2", IF(L61="✅ Đúng", "✅ Đúng ở L3", "❌ Chưa đúng sau 3 lần"))))</f>
        <v/>
      </c>
      <c r="O61" s="13">
        <f>IF(ISBLANK(F61), "💡 Nhập đáp án vào Lần thử 1", IF(G61="✅ Đúng", "✨ Xuất sắc! Bạn đã làm đúng.", "💡 Gợi ý: " &amp; "Sử dụng công thức tính giá trị phần trăm: lấy phần trăm chia cho 100 rồi nhân với tổng số lượng."))</f>
        <v/>
      </c>
      <c r="P61" s="5">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Q61" s="5">
        <f>IF(OR(H61="✅ Đúng", J61="✅ Đúng", L61="✅ Đúng"), "Percent of Total: Number = Percentage * Total = 0.55 * 200 = 110.", "🔒 Trả lời đúng để mở khóa Strategic Tip!")</f>
        <v/>
      </c>
    </row>
    <row r="62" ht="15.75" customHeight="1" s="19">
      <c r="A62" s="7" t="inlineStr">
        <is>
          <t>M58</t>
        </is>
      </c>
      <c r="B62" s="7" t="inlineStr">
        <is>
          <t>Math Module 1</t>
        </is>
      </c>
      <c r="C62" s="5" t="inlineStr">
        <is>
          <t>Equivalent Algebraic Expressions</t>
        </is>
      </c>
      <c r="D62" s="5" t="inlineStr">
        <is>
          <t>Given the expression: 29x^2 + 29.</t>
        </is>
      </c>
      <c r="E62" s="5" t="inlineStr">
        <is>
          <t>Calculator Allowed. Which expression is equivalent to 29x^2 + 29?</t>
        </is>
      </c>
      <c r="F62" s="5" t="inlineStr">
        <is>
          <t>A. 29(x^2 + 1)
B. 29(x^2 + 29)
C. 29(29x^2 + 1)
D. 29(x^2 + 1/29)</t>
        </is>
      </c>
      <c r="G62" s="14" t="n"/>
      <c r="H62" s="7">
        <f>IF(ISBLANK(G62), "⏳ Chờ đáp án", IF(UPPER(TRIM(G62))="A", "✅ Đúng", "❌ Sai"))</f>
        <v/>
      </c>
      <c r="I62" s="14" t="n"/>
      <c r="J62" s="7">
        <f>IF(ISBLANK(I62), "", IF(UPPER(TRIM(I62))="A", "✅ Đúng", "❌ Sai"))</f>
        <v/>
      </c>
      <c r="K62" s="14" t="n"/>
      <c r="L62" s="7">
        <f>IF(ISBLANK(K62), "", IF(UPPER(TRIM(K62))="A", "✅ Đúng", "❌ Sai"))</f>
        <v/>
      </c>
      <c r="M62" s="7">
        <f>COUNTIF(H62, "❌ Sai") + COUNTIF(J62, "❌ Sai") + COUNTIF(L62, "❌ Sai")</f>
        <v/>
      </c>
      <c r="N62" s="7">
        <f>IF(ISBLANK(G62), "⏳ Chờ làm", IF(H62="✅ Đúng", "✅ Đúng ngay L1", IF(J62="✅ Đúng", "✅ Đúng ở L2", IF(L62="✅ Đúng", "✅ Đúng ở L3", "❌ Chưa đúng sau 3 lần"))))</f>
        <v/>
      </c>
      <c r="O62" s="13">
        <f>IF(ISBLANK(F62), "💡 Nhập đáp án vào Lần thử 1", IF(G62="✅ Đúng", "✨ Xuất sắc! Bạn đã làm đúng.", "💡 Gợi ý: " &amp; "Nhóm các số hạng đồng dạng hoặc biến đổi biểu thức theo các quy tắc đại số cơ bản."))</f>
        <v/>
      </c>
      <c r="P62" s="5">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Q62" s="5">
        <f>IF(OR(H62="✅ Đúng", J62="✅ Đúng", L62="✅ Đúng"), "Factoring Out Common Factor: 29x^2 + 29 = 29(x^2 + 1).", "🔒 Trả lời đúng để mở khóa Strategic Tip!")</f>
        <v/>
      </c>
    </row>
    <row r="63" ht="15.75" customHeight="1" s="19">
      <c r="A63" s="7" t="inlineStr">
        <is>
          <t>M59</t>
        </is>
      </c>
      <c r="B63" s="7" t="inlineStr">
        <is>
          <t>Math Module 1</t>
        </is>
      </c>
      <c r="C63" s="5" t="inlineStr">
        <is>
          <t>Solving Linear Equations</t>
        </is>
      </c>
      <c r="D63" s="5" t="inlineStr">
        <is>
          <t>Given the equation: 2(x - 3) = 2(90).</t>
        </is>
      </c>
      <c r="E63" s="5" t="inlineStr">
        <is>
          <t>Calculator Allowed. What is the value of x - 3?</t>
        </is>
      </c>
      <c r="F63" s="5" t="inlineStr">
        <is>
          <t>A. 30
B. 90
C. 180
D. 270</t>
        </is>
      </c>
      <c r="G63" s="14" t="n"/>
      <c r="H63" s="7">
        <f>IF(ISBLANK(G63), "⏳ Chờ đáp án", IF(UPPER(TRIM(G63))="B", "✅ Đúng", "❌ Sai"))</f>
        <v/>
      </c>
      <c r="I63" s="14" t="n"/>
      <c r="J63" s="7">
        <f>IF(ISBLANK(I63), "", IF(UPPER(TRIM(I63))="B", "✅ Đúng", "❌ Sai"))</f>
        <v/>
      </c>
      <c r="K63" s="14" t="n"/>
      <c r="L63" s="7">
        <f>IF(ISBLANK(K63), "", IF(UPPER(TRIM(K63))="B", "✅ Đúng", "❌ Sai"))</f>
        <v/>
      </c>
      <c r="M63" s="7">
        <f>COUNTIF(H63, "❌ Sai") + COUNTIF(J63, "❌ Sai") + COUNTIF(L63, "❌ Sai")</f>
        <v/>
      </c>
      <c r="N63" s="7">
        <f>IF(ISBLANK(G63), "⏳ Chờ làm", IF(H63="✅ Đúng", "✅ Đúng ngay L1", IF(J63="✅ Đúng", "✅ Đúng ở L2", IF(L63="✅ Đúng", "✅ Đúng ở L3", "❌ Chưa đúng sau 3 lần"))))</f>
        <v/>
      </c>
      <c r="O63" s="13">
        <f>IF(ISBLANK(F63), "💡 Nhập đáp án vào Lần thử 1", IF(G63="✅ Đúng", "✨ Xuất sắc! Bạn đã làm đúng.", "💡 Gợi ý: " &amp; "Biến đổi phương trình bằng cách chuyển các số hạng chứa ẩn về một vế và hằng số về vế còn lại."))</f>
        <v/>
      </c>
      <c r="P63" s="5">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Q63" s="5">
        <f>IF(OR(H63="✅ Đúng", J63="✅ Đúng", L63="✅ Đúng"), "Divide both sides by 2 directly: x - 3 = 90.", "🔒 Trả lời đúng để mở khóa Strategic Tip!")</f>
        <v/>
      </c>
    </row>
    <row r="64" ht="15.75" customHeight="1" s="19">
      <c r="A64" s="7" t="inlineStr">
        <is>
          <t>M60</t>
        </is>
      </c>
      <c r="B64" s="7" t="inlineStr">
        <is>
          <t>Math Module 1</t>
        </is>
      </c>
      <c r="C64" s="5" t="inlineStr">
        <is>
          <t>Rates &amp; Unit Conversion</t>
        </is>
      </c>
      <c r="D64" s="5" t="inlineStr">
        <is>
          <t>A commercial water pump drains water from a reservoir at a constant rate of 180 gallons per minute.</t>
        </is>
      </c>
      <c r="E64" s="5" t="inlineStr">
        <is>
          <t>Calculator Allowed. At this rate, how many hours will it take to drain 32,400 gallons of water?</t>
        </is>
      </c>
      <c r="F64" s="5" t="inlineStr">
        <is>
          <t>Student-Produced Response (Grid-in). Enter the exact number.</t>
        </is>
      </c>
      <c r="G64" s="14" t="n"/>
      <c r="H64" s="7">
        <f>IF(ISBLANK(G64), "⏳ Chờ đáp án", IF(UPPER(TRIM(G64))="3", "✅ Đúng", "❌ Sai"))</f>
        <v/>
      </c>
      <c r="I64" s="14" t="n"/>
      <c r="J64" s="7">
        <f>IF(ISBLANK(I64), "", IF(UPPER(TRIM(I64))="3", "✅ Đúng", "❌ Sai"))</f>
        <v/>
      </c>
      <c r="K64" s="14" t="n"/>
      <c r="L64" s="7">
        <f>IF(ISBLANK(K64), "", IF(UPPER(TRIM(K64))="3", "✅ Đúng", "❌ Sai"))</f>
        <v/>
      </c>
      <c r="M64" s="7">
        <f>COUNTIF(H64, "❌ Sai") + COUNTIF(J64, "❌ Sai") + COUNTIF(L64, "❌ Sai")</f>
        <v/>
      </c>
      <c r="N64" s="7">
        <f>IF(ISBLANK(G64), "⏳ Chờ làm", IF(H64="✅ Đúng", "✅ Đúng ngay L1", IF(J64="✅ Đúng", "✅ Đúng ở L2", IF(L64="✅ Đúng", "✅ Đúng ở L3", "❌ Chưa đúng sau 3 lần"))))</f>
        <v/>
      </c>
      <c r="O64" s="13">
        <f>IF(ISBLANK(F64), "💡 Nhập đáp án vào Lần thử 1", IF(G64="✅ Đúng", "✨ Xuất sắc! Bạn đã làm đúng.", "💡 Gợi ý: " &amp; "Áp dụng công thức tỉ lệ hoặc chuyển đổi đơn vị đo lường tương ứng để tính toán."))</f>
        <v/>
      </c>
      <c r="P64" s="5">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Q64" s="5">
        <f>IF(OR(H64="✅ Đúng", J64="✅ Đúng", L64="✅ Đúng"), "Time (hours) = Total Gallons / (Rate per min * 60 min/hr) = 32,400 / (180 * 60) = 3.", "🔒 Trả lời đúng để mở khóa Strategic Tip!")</f>
        <v/>
      </c>
    </row>
    <row r="65" ht="15.75" customHeight="1" s="19">
      <c r="A65" s="7" t="inlineStr">
        <is>
          <t>M61</t>
        </is>
      </c>
      <c r="B65" s="7" t="inlineStr">
        <is>
          <t>Math Module 1</t>
        </is>
      </c>
      <c r="C65" s="5" t="inlineStr">
        <is>
          <t>Linear Equations in Two Variables</t>
        </is>
      </c>
      <c r="D65" s="5" t="inlineStr">
        <is>
          <t>The equation 4.57x + 6.08y = 902.07 represents a situation where x is the number of smaller bottles sold and y is the number of larger bottles sold.</t>
        </is>
      </c>
      <c r="E65" s="5" t="inlineStr">
        <is>
          <t>Calculator Allowed. According to the equation, what is the price, in dollars, of each smaller bottle?</t>
        </is>
      </c>
      <c r="F65" s="5" t="inlineStr">
        <is>
          <t>Student-Produced Response (Grid-in). Enter the exact decimal.</t>
        </is>
      </c>
      <c r="G65" s="14" t="n"/>
      <c r="H65" s="7">
        <f>IF(ISBLANK(G65), "⏳ Chờ đáp án", IF(UPPER(TRIM(G65))="4.57", "✅ Đúng", "❌ Sai"))</f>
        <v/>
      </c>
      <c r="I65" s="14" t="n"/>
      <c r="J65" s="7">
        <f>IF(ISBLANK(I65), "", IF(UPPER(TRIM(I65))="4.57", "✅ Đúng", "❌ Sai"))</f>
        <v/>
      </c>
      <c r="K65" s="14" t="n"/>
      <c r="L65" s="7">
        <f>IF(ISBLANK(K65), "", IF(UPPER(TRIM(K65))="4.57", "✅ Đúng", "❌ Sai"))</f>
        <v/>
      </c>
      <c r="M65" s="7">
        <f>COUNTIF(H65, "❌ Sai") + COUNTIF(J65, "❌ Sai") + COUNTIF(L65, "❌ Sai")</f>
        <v/>
      </c>
      <c r="N65" s="7">
        <f>IF(ISBLANK(G65), "⏳ Chờ làm", IF(H65="✅ Đúng", "✅ Đúng ngay L1", IF(J65="✅ Đúng", "✅ Đúng ở L2", IF(L65="✅ Đúng", "✅ Đúng ở L3", "❌ Chưa đúng sau 3 lần"))))</f>
        <v/>
      </c>
      <c r="O65" s="13">
        <f>IF(ISBLANK(F65), "💡 Nhập đáp án vào Lần thử 1", IF(G65="✅ Đúng", "✨ Xuất sắc! Bạn đã làm đúng.", "💡 Gợi ý: " &amp; "Lập hệ phương trình hoặc phương trình tuyến tính thể hiện mối quan hệ giữa hai đại lượng."))</f>
        <v/>
      </c>
      <c r="P65" s="5">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Q65" s="5">
        <f>IF(OR(H65="✅ Đúng", J65="✅ Đúng", L65="✅ Đúng"), "In Total Cost = a*x + b*y, the coefficient 'a' represents the price per unit x.", "🔒 Trả lời đúng để mở khóa Strategic Tip!")</f>
        <v/>
      </c>
    </row>
    <row r="66" ht="15.75" customHeight="1" s="19">
      <c r="A66" s="7" t="inlineStr">
        <is>
          <t>M62</t>
        </is>
      </c>
      <c r="B66" s="7" t="inlineStr">
        <is>
          <t>Math Module 1</t>
        </is>
      </c>
      <c r="C66" s="5" t="inlineStr">
        <is>
          <t>Similar Triangles &amp; Proportions</t>
        </is>
      </c>
      <c r="D66" s="5" t="inlineStr">
        <is>
          <t>Triangle ABC is similar to triangle XYZ, where A, B, and C correspond to X, Y, and Z, respectively. In triangle ABC, AB = 180 and BC = 900. In triangle XYZ, YZ = 80.</t>
        </is>
      </c>
      <c r="E66" s="5" t="inlineStr">
        <is>
          <t>Calculator Allowed. What is the length of XY?</t>
        </is>
      </c>
      <c r="F66" s="5" t="inlineStr">
        <is>
          <t>A. 288
B. 196
C. 80
D. 16</t>
        </is>
      </c>
      <c r="G66" s="14" t="n"/>
      <c r="H66" s="7">
        <f>IF(ISBLANK(G66), "⏳ Chờ đáp án", IF(UPPER(TRIM(G66))="D", "✅ Đúng", "❌ Sai"))</f>
        <v/>
      </c>
      <c r="I66" s="14" t="n"/>
      <c r="J66" s="7">
        <f>IF(ISBLANK(I66), "", IF(UPPER(TRIM(I66))="D", "✅ Đúng", "❌ Sai"))</f>
        <v/>
      </c>
      <c r="K66" s="14" t="n"/>
      <c r="L66" s="7">
        <f>IF(ISBLANK(K66), "", IF(UPPER(TRIM(K66))="D", "✅ Đúng", "❌ Sai"))</f>
        <v/>
      </c>
      <c r="M66" s="7">
        <f>COUNTIF(H66, "❌ Sai") + COUNTIF(J66, "❌ Sai") + COUNTIF(L66, "❌ Sai")</f>
        <v/>
      </c>
      <c r="N66" s="7">
        <f>IF(ISBLANK(G66), "⏳ Chờ làm", IF(H66="✅ Đúng", "✅ Đúng ngay L1", IF(J66="✅ Đúng", "✅ Đúng ở L2", IF(L66="✅ Đúng", "✅ Đúng ở L3", "❌ Chưa đúng sau 3 lần"))))</f>
        <v/>
      </c>
      <c r="O66" s="13">
        <f>IF(ISBLANK(F66), "💡 Nhập đáp án vào Lần thử 1", IF(G66="✅ Đúng", "✨ Xuất sắc! Bạn đã làm đúng.", "💡 Gợi ý: " &amp; "Sử dụng tính chất tam giác đồng dạng để lập tỉ lệ giữa các cạnh tương ứng."))</f>
        <v/>
      </c>
      <c r="P66" s="5">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c>
      <c r="Q66" s="5">
        <f>IF(OR(H66="✅ Đúng", J66="✅ Đúng", L66="✅ Đúng"), "Similar Triangles Ratio: AB / XY = BC / YZ =&gt; 180 / XY = 900 / 80 =&gt; XY = 16.", "🔒 Trả lời đúng để mở khóa Strategic Tip!")</f>
        <v/>
      </c>
    </row>
    <row r="67" ht="15.75" customHeight="1" s="19">
      <c r="A67" s="7" t="inlineStr">
        <is>
          <t>M63</t>
        </is>
      </c>
      <c r="B67" s="7" t="inlineStr">
        <is>
          <t>Math Module 1</t>
        </is>
      </c>
      <c r="C67" s="5" t="inlineStr">
        <is>
          <t>Absolute Value Equations</t>
        </is>
      </c>
      <c r="D67" s="5" t="inlineStr">
        <is>
          <t>Given the equation: |x - 43| = 0.</t>
        </is>
      </c>
      <c r="E67" s="5" t="inlineStr">
        <is>
          <t>Calculator Allowed. Which value is a solution to the given equation?</t>
        </is>
      </c>
      <c r="F67" s="5" t="inlineStr">
        <is>
          <t>A. 1
B. 0
C. 43
D. -43</t>
        </is>
      </c>
      <c r="G67" s="14" t="n"/>
      <c r="H67" s="7">
        <f>IF(ISBLANK(G67), "⏳ Chờ đáp án", IF(UPPER(TRIM(G67))="C", "✅ Đúng", "❌ Sai"))</f>
        <v/>
      </c>
      <c r="I67" s="14" t="n"/>
      <c r="J67" s="7">
        <f>IF(ISBLANK(I67), "", IF(UPPER(TRIM(I67))="C", "✅ Đúng", "❌ Sai"))</f>
        <v/>
      </c>
      <c r="K67" s="14" t="n"/>
      <c r="L67" s="7">
        <f>IF(ISBLANK(K67), "", IF(UPPER(TRIM(K67))="C", "✅ Đúng", "❌ Sai"))</f>
        <v/>
      </c>
      <c r="M67" s="7">
        <f>COUNTIF(H67, "❌ Sai") + COUNTIF(J67, "❌ Sai") + COUNTIF(L67, "❌ Sai")</f>
        <v/>
      </c>
      <c r="N67" s="7">
        <f>IF(ISBLANK(G67), "⏳ Chờ làm", IF(H67="✅ Đúng", "✅ Đúng ngay L1", IF(J67="✅ Đúng", "✅ Đúng ở L2", IF(L67="✅ Đúng", "✅ Đúng ở L3", "❌ Chưa đúng sau 3 lần"))))</f>
        <v/>
      </c>
      <c r="O67" s="13">
        <f>IF(ISBLANK(F67), "💡 Nhập đáp án vào Lần thử 1", IF(G67="✅ Đúng", "✨ Xuất sắc! Bạn đã làm đúng.", "💡 Gợi ý: " &amp; "Phân tích phương trình chứa giá trị tuyệt đối thành hai trường hợp tương ứng với dấu dương và âm."))</f>
        <v/>
      </c>
      <c r="P67" s="5">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c>
      <c r="Q67" s="5">
        <f>IF(OR(H67="✅ Đúng", J67="✅ Đúng", L67="✅ Đúng"), "|A| = 0 implies A = 0 =&gt; x = 43.", "🔒 Trả lời đúng để mở khóa Strategic Tip!")</f>
        <v/>
      </c>
    </row>
    <row r="68" ht="15.75" customHeight="1" s="19">
      <c r="A68" s="7" t="inlineStr">
        <is>
          <t>M64</t>
        </is>
      </c>
      <c r="B68" s="7" t="inlineStr">
        <is>
          <t>Math Module 1</t>
        </is>
      </c>
      <c r="C68" s="5" t="inlineStr">
        <is>
          <t>Finding Line Equation from Points</t>
        </is>
      </c>
      <c r="D68" s="5" t="inlineStr">
        <is>
          <t>In the xy-plane, line k passes through the points (0, -8) and (1, -5).</t>
        </is>
      </c>
      <c r="E68" s="5" t="inlineStr">
        <is>
          <t>Calculator Allowed. Which equation defines line k?</t>
        </is>
      </c>
      <c r="F68" s="5" t="inlineStr">
        <is>
          <t>A. y = 3x - 8
B. y = (1/3)x - 8
C. y = -x + 1/3
D. 3y = -x + 3</t>
        </is>
      </c>
      <c r="G68" s="14" t="n"/>
      <c r="H68" s="7">
        <f>IF(ISBLANK(G68), "⏳ Chờ đáp án", IF(UPPER(TRIM(G68))="A", "✅ Đúng", "❌ Sai"))</f>
        <v/>
      </c>
      <c r="I68" s="14" t="n"/>
      <c r="J68" s="7">
        <f>IF(ISBLANK(I68), "", IF(UPPER(TRIM(I68))="A", "✅ Đúng", "❌ Sai"))</f>
        <v/>
      </c>
      <c r="K68" s="14" t="n"/>
      <c r="L68" s="7">
        <f>IF(ISBLANK(K68), "", IF(UPPER(TRIM(K68))="A", "✅ Đúng", "❌ Sai"))</f>
        <v/>
      </c>
      <c r="M68" s="7">
        <f>COUNTIF(H68, "❌ Sai") + COUNTIF(J68, "❌ Sai") + COUNTIF(L68, "❌ Sai")</f>
        <v/>
      </c>
      <c r="N68" s="7">
        <f>IF(ISBLANK(G68), "⏳ Chờ làm", IF(H68="✅ Đúng", "✅ Đúng ngay L1", IF(J68="✅ Đúng", "✅ Đúng ở L2", IF(L68="✅ Đúng", "✅ Đúng ở L3", "❌ Chưa đúng sau 3 lần"))))</f>
        <v/>
      </c>
      <c r="O68" s="13">
        <f>IF(ISBLANK(F68), "💡 Nhập đáp án vào Lần thử 1", IF(G68="✅ Đúng", "✨ Xuất sắc! Bạn đã làm đúng.", "💡 Gợi ý: " &amp; "Tính hệ số góc m = (y2 - y1)/(x2 - x1) rồi thay tọa độ một điểm vào để tìm phương trình đường thẳng."))</f>
        <v/>
      </c>
      <c r="P68" s="5">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c>
      <c r="Q68" s="5">
        <f>IF(OR(H68="✅ Đúng", J68="✅ Đúng", L68="✅ Đúng"), "Slope m = (y2 - y1)/(x2 - x1) = 3, y-intercept = -8 =&gt; y = 3x - 8.", "🔒 Trả lời đúng để mở khóa Strategic Tip!")</f>
        <v/>
      </c>
    </row>
    <row r="69" ht="15.75" customHeight="1" s="19">
      <c r="A69" s="7" t="inlineStr">
        <is>
          <t>M65</t>
        </is>
      </c>
      <c r="B69" s="7" t="inlineStr">
        <is>
          <t>Math Module 1</t>
        </is>
      </c>
      <c r="C69" s="5" t="inlineStr">
        <is>
          <t>Scatterplot Best-Fit Line Model</t>
        </is>
      </c>
      <c r="D69" s="5" t="inlineStr">
        <is>
          <t>A scatterplot shows data points with a positive slope passing near (0, 0.2) and (4, 9.2).</t>
        </is>
      </c>
      <c r="E69" s="5" t="inlineStr">
        <is>
          <t>Calculator Allowed. Which equation is the most appropriate linear model for the data?</t>
        </is>
      </c>
      <c r="F69" s="5" t="inlineStr">
        <is>
          <t>A. y = 0.2 + 2.25x
B. y = 0.2 - 2.25x
C. y = 2.25 + 0.2x
D. y = 2.25 - 0.2x</t>
        </is>
      </c>
      <c r="G69" s="14" t="n"/>
      <c r="H69" s="7">
        <f>IF(ISBLANK(G69), "⏳ Chờ đáp án", IF(UPPER(TRIM(G69))="A", "✅ Đúng", "❌ Sai"))</f>
        <v/>
      </c>
      <c r="I69" s="14" t="n"/>
      <c r="J69" s="7">
        <f>IF(ISBLANK(I69), "", IF(UPPER(TRIM(I69))="A", "✅ Đúng", "❌ Sai"))</f>
        <v/>
      </c>
      <c r="K69" s="14" t="n"/>
      <c r="L69" s="7">
        <f>IF(ISBLANK(K69), "", IF(UPPER(TRIM(K69))="A", "✅ Đúng", "❌ Sai"))</f>
        <v/>
      </c>
      <c r="M69" s="7">
        <f>COUNTIF(H69, "❌ Sai") + COUNTIF(J69, "❌ Sai") + COUNTIF(L69, "❌ Sai")</f>
        <v/>
      </c>
      <c r="N69" s="7">
        <f>IF(ISBLANK(G69), "⏳ Chờ làm", IF(H69="✅ Đúng", "✅ Đúng ngay L1", IF(J69="✅ Đúng", "✅ Đúng ở L2", IF(L69="✅ Đúng", "✅ Đúng ở L3", "❌ Chưa đúng sau 3 lần"))))</f>
        <v/>
      </c>
      <c r="O69" s="13">
        <f>IF(ISBLANK(F69), "💡 Nhập đáp án vào Lần thử 1", IF(G69="✅ Đúng", "✨ Xuất sắc! Bạn đã làm đúng.", "💡 Gợi ý: " &amp; "Đọc tọa độ các điểm trên biểu đồ phân tán và kiểm tra độ dốc/tung độ gốc của đường tiệm cận."))</f>
        <v/>
      </c>
      <c r="P69" s="5">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Q69" s="5">
        <f>IF(OR(H69="✅ Đúng", J69="✅ Đúng", L69="✅ Đúng"), "Linear Model: y = b + m*x where b ≈ 0.2 and m ≈ 2.25.", "🔒 Trả lời đúng để mở khóa Strategic Tip!")</f>
        <v/>
      </c>
    </row>
    <row r="70" ht="15.75" customHeight="1" s="19">
      <c r="A70" s="7" t="inlineStr">
        <is>
          <t>M66</t>
        </is>
      </c>
      <c r="B70" s="7" t="inlineStr">
        <is>
          <t>Math Module 1</t>
        </is>
      </c>
      <c r="C70" s="5" t="inlineStr">
        <is>
          <t>Rational Function Intercepts</t>
        </is>
      </c>
      <c r="D70" s="5" t="inlineStr">
        <is>
          <t>Given the function y = (21 - x) / (ax + b), where a and b are positive constants.</t>
        </is>
      </c>
      <c r="E70" s="5" t="inlineStr">
        <is>
          <t>Calculator Allowed. What is the x-intercept of the graph in the xy-plane?</t>
        </is>
      </c>
      <c r="F70" s="5" t="inlineStr">
        <is>
          <t>A. (21, 0)
B. (0, -21)
C. (0, 21/b)
D. (-b/a, 0)</t>
        </is>
      </c>
      <c r="G70" s="14" t="n"/>
      <c r="H70" s="7">
        <f>IF(ISBLANK(G70), "⏳ Chờ đáp án", IF(UPPER(TRIM(G70))="A", "✅ Đúng", "❌ Sai"))</f>
        <v/>
      </c>
      <c r="I70" s="14" t="n"/>
      <c r="J70" s="7">
        <f>IF(ISBLANK(I70), "", IF(UPPER(TRIM(I70))="A", "✅ Đúng", "❌ Sai"))</f>
        <v/>
      </c>
      <c r="K70" s="14" t="n"/>
      <c r="L70" s="7">
        <f>IF(ISBLANK(K70), "", IF(UPPER(TRIM(K70))="A", "✅ Đúng", "❌ Sai"))</f>
        <v/>
      </c>
      <c r="M70" s="7">
        <f>COUNTIF(H70, "❌ Sai") + COUNTIF(J70, "❌ Sai") + COUNTIF(L70, "❌ Sai")</f>
        <v/>
      </c>
      <c r="N70" s="7">
        <f>IF(ISBLANK(G70), "⏳ Chờ làm", IF(H70="✅ Đúng", "✅ Đúng ngay L1", IF(J70="✅ Đúng", "✅ Đúng ở L2", IF(L70="✅ Đúng", "✅ Đúng ở L3", "❌ Chưa đúng sau 3 lần"))))</f>
        <v/>
      </c>
      <c r="O70" s="13">
        <f>IF(ISBLANK(F70), "💡 Nhập đáp án vào Lần thử 1", IF(G70="✅ Đúng", "✨ Xuất sắc! Bạn đã làm đúng.", "💡 Gợi ý: " &amp; "Tìm giao điểm với các trục bằng cách cho x = 0 (tìm y-intercept) hoặc y = 0 (tìm x-intercept)."))</f>
        <v/>
      </c>
      <c r="P70" s="5">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Q70" s="5">
        <f>IF(OR(H70="✅ Đúng", J70="✅ Đúng", L70="✅ Đúng"), "x-intercept occurs when y = 0 =&gt; Numerator 21 - x = 0 =&gt; x = 21.", "🔒 Trả lời đúng để mở khóa Strategic Tip!")</f>
        <v/>
      </c>
    </row>
    <row r="71" ht="15.75" customHeight="1" s="19">
      <c r="A71" s="7" t="inlineStr">
        <is>
          <t>M67</t>
        </is>
      </c>
      <c r="B71" s="7" t="inlineStr">
        <is>
          <t>Math Module 1</t>
        </is>
      </c>
      <c r="C71" s="5" t="inlineStr">
        <is>
          <t>Inequalities &amp; Speed/Distance</t>
        </is>
      </c>
      <c r="D71" s="5" t="inlineStr">
        <is>
          <t>A model estimates that a glacier moves between 17 and 24 centimeters per day.</t>
        </is>
      </c>
      <c r="E71" s="5" t="inlineStr">
        <is>
          <t>Calculator Allowed. Which inequality represents possible values of x, where x is the total distance, in centimeters, the glacier moves in 2 days?</t>
        </is>
      </c>
      <c r="F71" s="5" t="inlineStr">
        <is>
          <t>A. 0 &lt;= x &lt;= 2
B. (17)(0.5) &lt;= x &lt;= (24)(0.5)
C. 17 &lt;= x &lt;= 24
D. (17)(2) &lt;= x &lt;= (24)(2)</t>
        </is>
      </c>
      <c r="G71" s="14" t="n"/>
      <c r="H71" s="7">
        <f>IF(ISBLANK(G71), "⏳ Chờ đáp án", IF(UPPER(TRIM(G71))="D", "✅ Đúng", "❌ Sai"))</f>
        <v/>
      </c>
      <c r="I71" s="14" t="n"/>
      <c r="J71" s="7">
        <f>IF(ISBLANK(I71), "", IF(UPPER(TRIM(I71))="D", "✅ Đúng", "❌ Sai"))</f>
        <v/>
      </c>
      <c r="K71" s="14" t="n"/>
      <c r="L71" s="7">
        <f>IF(ISBLANK(K71), "", IF(UPPER(TRIM(K71))="D", "✅ Đúng", "❌ Sai"))</f>
        <v/>
      </c>
      <c r="M71" s="7">
        <f>COUNTIF(H71, "❌ Sai") + COUNTIF(J71, "❌ Sai") + COUNTIF(L71, "❌ Sai")</f>
        <v/>
      </c>
      <c r="N71" s="7">
        <f>IF(ISBLANK(G71), "⏳ Chờ làm", IF(H71="✅ Đúng", "✅ Đúng ngay L1", IF(J71="✅ Đúng", "✅ Đúng ở L2", IF(L71="✅ Đúng", "✅ Đúng ở L3", "❌ Chưa đúng sau 3 lần"))))</f>
        <v/>
      </c>
      <c r="O71" s="13">
        <f>IF(ISBLANK(F71), "💡 Nhập đáp án vào Lần thử 1", IF(G71="✅ Đúng", "✨ Xuất sắc! Bạn đã làm đúng.", "💡 Gợi ý: " &amp; "Lập bất phương trình biểu diễn mối quan hệ giữa khoảng cách, vận tốc và thời gian."))</f>
        <v/>
      </c>
      <c r="P71" s="5">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Q71" s="5">
        <f>IF(OR(H71="✅ Đúng", J71="✅ Đúng", L71="✅ Đúng"), "Range for 2 days = [Min rate * 2, Max rate * 2] = [(17)(2), (24)(2)].", "🔒 Trả lời đúng để mở khóa Strategic Tip!")</f>
        <v/>
      </c>
    </row>
    <row r="72" ht="15.75" customHeight="1" s="19">
      <c r="A72" s="7" t="inlineStr">
        <is>
          <t>M68</t>
        </is>
      </c>
      <c r="B72" s="7" t="inlineStr">
        <is>
          <t>Math Module 1</t>
        </is>
      </c>
      <c r="C72" s="5" t="inlineStr">
        <is>
          <t>Unit Conversion (Ancient Units)</t>
        </is>
      </c>
      <c r="D72" s="5" t="inlineStr">
        <is>
          <t>In an ancient Roman measurement system, a leuga was a unit of length equal to 7,500 pedes.</t>
        </is>
      </c>
      <c r="E72" s="5" t="inlineStr">
        <is>
          <t>Calculator Allowed. In this measurement system, how many pedes were equivalent to 4.6 leugas?</t>
        </is>
      </c>
      <c r="F72" s="5" t="inlineStr">
        <is>
          <t>Student-Produced Response (Grid-in). Enter the exact integer.</t>
        </is>
      </c>
      <c r="G72" s="14" t="n"/>
      <c r="H72" s="7">
        <f>IF(ISBLANK(G72), "⏳ Chờ đáp án", IF(UPPER(TRIM(G72))="34500", "✅ Đúng", "❌ Sai"))</f>
        <v/>
      </c>
      <c r="I72" s="14" t="n"/>
      <c r="J72" s="7">
        <f>IF(ISBLANK(I72), "", IF(UPPER(TRIM(I72))="34500", "✅ Đúng", "❌ Sai"))</f>
        <v/>
      </c>
      <c r="K72" s="14" t="n"/>
      <c r="L72" s="7">
        <f>IF(ISBLANK(K72), "", IF(UPPER(TRIM(K72))="34500", "✅ Đúng", "❌ Sai"))</f>
        <v/>
      </c>
      <c r="M72" s="7">
        <f>COUNTIF(H72, "❌ Sai") + COUNTIF(J72, "❌ Sai") + COUNTIF(L72, "❌ Sai")</f>
        <v/>
      </c>
      <c r="N72" s="7">
        <f>IF(ISBLANK(G72), "⏳ Chờ làm", IF(H72="✅ Đúng", "✅ Đúng ngay L1", IF(J72="✅ Đúng", "✅ Đúng ở L2", IF(L72="✅ Đúng", "✅ Đúng ở L3", "❌ Chưa đúng sau 3 lần"))))</f>
        <v/>
      </c>
      <c r="O72" s="13">
        <f>IF(ISBLANK(F72), "💡 Nhập đáp án vào Lần thử 1", IF(G72="✅ Đúng", "✨ Xuất sắc! Bạn đã làm đúng.", "💡 Gợi ý: " &amp; "Áp dụng phương pháp nhân hệ số chuyển đổi dây chuyền để đổi từ đơn vị này sang đơn vị khác."))</f>
        <v/>
      </c>
      <c r="P72" s="5">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c>
      <c r="Q72" s="5">
        <f>IF(OR(H72="✅ Đúng", J72="✅ Đúng", L72="✅ Đúng"), "Unit Conversion: Pedes = 4.6 * 7,500 = 34,500.", "🔒 Trả lời đúng để mở khóa Strategic Tip!")</f>
        <v/>
      </c>
    </row>
    <row r="73" ht="15.75" customHeight="1" s="19">
      <c r="A73" s="7" t="inlineStr">
        <is>
          <t>M69</t>
        </is>
      </c>
      <c r="B73" s="7" t="inlineStr">
        <is>
          <t>Math Module 1</t>
        </is>
      </c>
      <c r="C73" s="5" t="inlineStr">
        <is>
          <t>Geometry (Area &amp; Factoring)</t>
        </is>
      </c>
      <c r="D73" s="5" t="inlineStr">
        <is>
          <t>A rectangle has a width of n yards and a length of (n + 7) yards. The area of the rectangle is 198 square yards.</t>
        </is>
      </c>
      <c r="E73" s="5" t="inlineStr">
        <is>
          <t>Calculator Allowed. What is the value of n?</t>
        </is>
      </c>
      <c r="F73" s="5" t="inlineStr">
        <is>
          <t>Student-Produced Response (Grid-in). Enter the exact integer.</t>
        </is>
      </c>
      <c r="G73" s="14" t="n"/>
      <c r="H73" s="7">
        <f>IF(ISBLANK(G73), "⏳ Chờ đáp án", IF(UPPER(TRIM(G73))="11", "✅ Đúng", "❌ Sai"))</f>
        <v/>
      </c>
      <c r="I73" s="14" t="n"/>
      <c r="J73" s="7">
        <f>IF(ISBLANK(I73), "", IF(UPPER(TRIM(I73))="11", "✅ Đúng", "❌ Sai"))</f>
        <v/>
      </c>
      <c r="K73" s="14" t="n"/>
      <c r="L73" s="7">
        <f>IF(ISBLANK(K73), "", IF(UPPER(TRIM(K73))="11", "✅ Đúng", "❌ Sai"))</f>
        <v/>
      </c>
      <c r="M73" s="7">
        <f>COUNTIF(H73, "❌ Sai") + COUNTIF(J73, "❌ Sai") + COUNTIF(L73, "❌ Sai")</f>
        <v/>
      </c>
      <c r="N73" s="7">
        <f>IF(ISBLANK(G73), "⏳ Chờ làm", IF(H73="✅ Đúng", "✅ Đúng ngay L1", IF(J73="✅ Đúng", "✅ Đúng ở L2", IF(L73="✅ Đúng", "✅ Đúng ở L3", "❌ Chưa đúng sau 3 lần"))))</f>
        <v/>
      </c>
      <c r="O73" s="13">
        <f>IF(ISBLANK(F73), "💡 Nhập đáp án vào Lần thử 1", IF(G73="✅ Đúng", "✨ Xuất sắc! Bạn đã làm đúng.", "💡 Gợi ý: " &amp; "Sử dụng công thức tính diện tích hình học và phân tích đa thức thành nhân tử để tìm chiều dài các cạnh."))</f>
        <v/>
      </c>
      <c r="P73" s="5">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Q73" s="5">
        <f>IF(OR(H73="✅ Đúng", J73="✅ Đúng", L73="✅ Đúng"), "Area = n(n + 7) = 198 =&gt; n = 11 (since 11 * 18 = 198).", "🔒 Trả lời đúng để mở khóa Strategic Tip!")</f>
        <v/>
      </c>
    </row>
    <row r="74" ht="15.75" customHeight="1" s="19">
      <c r="A74" s="7" t="inlineStr">
        <is>
          <t>M70</t>
        </is>
      </c>
      <c r="B74" s="7" t="inlineStr">
        <is>
          <t>Math Module 1</t>
        </is>
      </c>
      <c r="C74" s="5" t="inlineStr">
        <is>
          <t>Rearranging Formulas (Kinetic Energy)</t>
        </is>
      </c>
      <c r="D74" s="5" t="inlineStr">
        <is>
          <t>For an object with a mass of 55 kg, the given equation 55 = 2K / (v^2) relates kinetic energy K to speed v.</t>
        </is>
      </c>
      <c r="E74" s="5" t="inlineStr">
        <is>
          <t>Calculator Allowed. Which equation correctly expresses speed v in terms of K?</t>
        </is>
      </c>
      <c r="F74" s="5" t="inlineStr">
        <is>
          <t>A. v = 2K / 55^2
B. v = 55^2 / 2K
C. v = sqrt(55 / 2K)
D. v = sqrt(2K / 55)</t>
        </is>
      </c>
      <c r="G74" s="14" t="n"/>
      <c r="H74" s="7">
        <f>IF(ISBLANK(G74), "⏳ Chờ đáp án", IF(UPPER(TRIM(G74))="D", "✅ Đúng", "❌ Sai"))</f>
        <v/>
      </c>
      <c r="I74" s="14" t="n"/>
      <c r="J74" s="7">
        <f>IF(ISBLANK(I74), "", IF(UPPER(TRIM(I74))="D", "✅ Đúng", "❌ Sai"))</f>
        <v/>
      </c>
      <c r="K74" s="14" t="n"/>
      <c r="L74" s="7">
        <f>IF(ISBLANK(K74), "", IF(UPPER(TRIM(K74))="D", "✅ Đúng", "❌ Sai"))</f>
        <v/>
      </c>
      <c r="M74" s="7">
        <f>COUNTIF(H74, "❌ Sai") + COUNTIF(J74, "❌ Sai") + COUNTIF(L74, "❌ Sai")</f>
        <v/>
      </c>
      <c r="N74" s="7">
        <f>IF(ISBLANK(G74), "⏳ Chờ làm", IF(H74="✅ Đúng", "✅ Đúng ngay L1", IF(J74="✅ Đúng", "✅ Đúng ở L2", IF(L74="✅ Đúng", "✅ Đúng ở L3", "❌ Chưa đúng sau 3 lần"))))</f>
        <v/>
      </c>
      <c r="O74" s="13">
        <f>IF(ISBLANK(F74), "💡 Nhập đáp án vào Lần thử 1", IF(G74="✅ Đúng", "✨ Xuất sắc! Bạn đã làm đúng.", "💡 Gợi ý: " &amp; "Biến đổi đại số để cô lập biến cần tìm về một vế của công thức."))</f>
        <v/>
      </c>
      <c r="P74" s="5">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Q74" s="5">
        <f>IF(OR(H74="✅ Đúng", J74="✅ Đúng", L74="✅ Đúng"), "Isolate v: v^2 = 2K / 55 =&gt; v = sqrt(2K / 55).", "🔒 Trả lời đúng để mở khóa Strategic Tip!")</f>
        <v/>
      </c>
    </row>
    <row r="75" ht="15.75" customHeight="1" s="19">
      <c r="A75" s="7" t="inlineStr">
        <is>
          <t>M71</t>
        </is>
      </c>
      <c r="B75" s="7" t="inlineStr">
        <is>
          <t>Math Module 1</t>
        </is>
      </c>
      <c r="C75" s="5" t="inlineStr">
        <is>
          <t>Exponential Growth Model</t>
        </is>
      </c>
      <c r="D75" s="5" t="inlineStr">
        <is>
          <t>A company's solar cell production grew by approximately 22% each year for 5 years following 2013, starting at 7,138 peak kilowatts in 2013.</t>
        </is>
      </c>
      <c r="E75" s="5" t="inlineStr">
        <is>
          <t>Calculator Allowed. Which function best models the solar cell production C(n) n years after 2013?</t>
        </is>
      </c>
      <c r="F75" s="5" t="inlineStr">
        <is>
          <t>A. C(n) = 7,138(0.22)^n
B. C(n) = 7,138(1.22)^n
C. C(n) = 0.22(7,138)^n
D. C(n) = 1.22(7,138)^n</t>
        </is>
      </c>
      <c r="G75" s="14" t="n"/>
      <c r="H75" s="7">
        <f>IF(ISBLANK(G75), "⏳ Chờ đáp án", IF(UPPER(TRIM(G75))="B", "✅ Đúng", "❌ Sai"))</f>
        <v/>
      </c>
      <c r="I75" s="14" t="n"/>
      <c r="J75" s="7">
        <f>IF(ISBLANK(I75), "", IF(UPPER(TRIM(I75))="B", "✅ Đúng", "❌ Sai"))</f>
        <v/>
      </c>
      <c r="K75" s="14" t="n"/>
      <c r="L75" s="7">
        <f>IF(ISBLANK(K75), "", IF(UPPER(TRIM(K75))="B", "✅ Đúng", "❌ Sai"))</f>
        <v/>
      </c>
      <c r="M75" s="7">
        <f>COUNTIF(H75, "❌ Sai") + COUNTIF(J75, "❌ Sai") + COUNTIF(L75, "❌ Sai")</f>
        <v/>
      </c>
      <c r="N75" s="7">
        <f>IF(ISBLANK(G75), "⏳ Chờ làm", IF(H75="✅ Đúng", "✅ Đúng ngay L1", IF(J75="✅ Đúng", "✅ Đúng ở L2", IF(L75="✅ Đúng", "✅ Đúng ở L3", "❌ Chưa đúng sau 3 lần"))))</f>
        <v/>
      </c>
      <c r="O75" s="13">
        <f>IF(ISBLANK(F75), "💡 Nhập đáp án vào Lần thử 1", IF(G75="✅ Đúng", "✨ Xuất sắc! Bạn đã làm đúng.", "💡 Gợi ý: " &amp; "Áp dụng mô hình hàm số mũ y = a(b)^x với a là giá trị ban đầu và b là hệ số tăng/giảm."))</f>
        <v/>
      </c>
      <c r="P75" s="5">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Q75" s="5">
        <f>IF(OR(H75="✅ Đúng", J75="✅ Đúng", L75="✅ Đúng"), "Exponential Growth Model: P(t) = P0 * (1 + r)^t = 7,138 * (1.22)^n.", "🔒 Trả lời đúng để mở khóa Strategic Tip!")</f>
        <v/>
      </c>
    </row>
    <row r="76" ht="15.75" customHeight="1" s="19">
      <c r="A76" s="7" t="inlineStr">
        <is>
          <t>M72</t>
        </is>
      </c>
      <c r="B76" s="7" t="inlineStr">
        <is>
          <t>Math Module 1</t>
        </is>
      </c>
      <c r="C76" s="5" t="inlineStr">
        <is>
          <t>Trigonometry (Special Right Triangle 45-45-90)</t>
        </is>
      </c>
      <c r="D76" s="5" t="inlineStr">
        <is>
          <t>In right triangle ABC with angle B = 90 deg and angle C = 45 deg, hypotenuse AC has length x = 19.</t>
        </is>
      </c>
      <c r="E76" s="5" t="inlineStr">
        <is>
          <t>Calculator Allowed. What is the value of sin A?</t>
        </is>
      </c>
      <c r="F76" s="5" t="inlineStr">
        <is>
          <t>A. 1/sqrt(3)
B. 1/sqrt(2)
C. 1
D. sqrt(2)</t>
        </is>
      </c>
      <c r="G76" s="14" t="n"/>
      <c r="H76" s="7">
        <f>IF(ISBLANK(G76), "⏳ Chờ đáp án", IF(UPPER(TRIM(G76))="B", "✅ Đúng", "❌ Sai"))</f>
        <v/>
      </c>
      <c r="I76" s="14" t="n"/>
      <c r="J76" s="7">
        <f>IF(ISBLANK(I76), "", IF(UPPER(TRIM(I76))="B", "✅ Đúng", "❌ Sai"))</f>
        <v/>
      </c>
      <c r="K76" s="14" t="n"/>
      <c r="L76" s="7">
        <f>IF(ISBLANK(K76), "", IF(UPPER(TRIM(K76))="B", "✅ Đúng", "❌ Sai"))</f>
        <v/>
      </c>
      <c r="M76" s="7">
        <f>COUNTIF(H76, "❌ Sai") + COUNTIF(J76, "❌ Sai") + COUNTIF(L76, "❌ Sai")</f>
        <v/>
      </c>
      <c r="N76" s="7">
        <f>IF(ISBLANK(G76), "⏳ Chờ làm", IF(H76="✅ Đúng", "✅ Đúng ngay L1", IF(J76="✅ Đúng", "✅ Đúng ở L2", IF(L76="✅ Đúng", "✅ Đúng ở L3", "❌ Chưa đúng sau 3 lần"))))</f>
        <v/>
      </c>
      <c r="O76" s="13">
        <f>IF(ISBLANK(F76), "💡 Nhập đáp án vào Lần thử 1", IF(G76="✅ Đúng", "✨ Xuất sắc! Bạn đã làm đúng.", "💡 Gợi ý: " &amp; "Sử dụng tỉ số lượng giác hoặc tính chất của tam giác vuông đặc biệt 45-45-90."))</f>
        <v/>
      </c>
      <c r="P76" s="5">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c>
      <c r="Q76" s="5">
        <f>IF(OR(H76="✅ Đúng", J76="✅ Đúng", L76="✅ Đúng"), "Special Right Triangle 45-45-90: sin(45 deg) = 1/sqrt(2).", "🔒 Trả lời đúng để mở khóa Strategic Tip!")</f>
        <v/>
      </c>
    </row>
    <row r="77" ht="15.75" customHeight="1" s="19">
      <c r="A77" s="7" t="inlineStr">
        <is>
          <t>M73</t>
        </is>
      </c>
      <c r="B77" s="7" t="inlineStr">
        <is>
          <t>Math Module 1</t>
        </is>
      </c>
      <c r="C77" s="5" t="inlineStr">
        <is>
          <t>3D Geometry (Right Square Prism Volume)</t>
        </is>
      </c>
      <c r="D77" s="5" t="inlineStr">
        <is>
          <t>A right square prism has a height of 15 units and a volume of 1,815 cubic units.</t>
        </is>
      </c>
      <c r="E77" s="5" t="inlineStr">
        <is>
          <t>Calculator Allowed. What is the length, in units, of an edge of the base?</t>
        </is>
      </c>
      <c r="F77" s="5" t="inlineStr">
        <is>
          <t>A. 11
B. 121
C. 15
D. 121/15</t>
        </is>
      </c>
      <c r="G77" s="14" t="n"/>
      <c r="H77" s="7">
        <f>IF(ISBLANK(G77), "⏳ Chờ đáp án", IF(UPPER(TRIM(G77))="A", "✅ Đúng", "❌ Sai"))</f>
        <v/>
      </c>
      <c r="I77" s="14" t="n"/>
      <c r="J77" s="7">
        <f>IF(ISBLANK(I77), "", IF(UPPER(TRIM(I77))="A", "✅ Đúng", "❌ Sai"))</f>
        <v/>
      </c>
      <c r="K77" s="14" t="n"/>
      <c r="L77" s="7">
        <f>IF(ISBLANK(K77), "", IF(UPPER(TRIM(K77))="A", "✅ Đúng", "❌ Sai"))</f>
        <v/>
      </c>
      <c r="M77" s="7">
        <f>COUNTIF(H77, "❌ Sai") + COUNTIF(J77, "❌ Sai") + COUNTIF(L77, "❌ Sai")</f>
        <v/>
      </c>
      <c r="N77" s="7">
        <f>IF(ISBLANK(G77), "⏳ Chờ làm", IF(H77="✅ Đúng", "✅ Đúng ngay L1", IF(J77="✅ Đúng", "✅ Đúng ở L2", IF(L77="✅ Đúng", "✅ Đúng ở L3", "❌ Chưa đúng sau 3 lần"))))</f>
        <v/>
      </c>
      <c r="O77" s="13">
        <f>IF(ISBLANK(F77), "💡 Nhập đáp án vào Lần thử 1", IF(G77="✅ Đúng", "✨ Xuất sắc! Bạn đã làm đúng.", "💡 Gợi ý: " &amp; "Sử dụng công thức thể tích khối lăng trụ đứng V = B * h (diện tích đáy nhân chiều cao)."))</f>
        <v/>
      </c>
      <c r="P77" s="5">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c>
      <c r="Q77" s="5">
        <f>IF(OR(H77="✅ Đúng", J77="✅ Đúng", L77="✅ Đúng"), "Volume of Square Prism = s^2 * h =&gt; s^2 = 1815 / 15 = 121 =&gt; s = 11.", "🔒 Trả lời đúng để mở khóa Strategic Tip!")</f>
        <v/>
      </c>
    </row>
    <row r="78" ht="15.75" customHeight="1" s="19">
      <c r="A78" s="7" t="inlineStr">
        <is>
          <t>M74</t>
        </is>
      </c>
      <c r="B78" s="7" t="inlineStr">
        <is>
          <t>Math Module 1</t>
        </is>
      </c>
      <c r="C78" s="5" t="inlineStr">
        <is>
          <t>Systems of Non-linear Equations</t>
        </is>
      </c>
      <c r="D78" s="5" t="inlineStr">
        <is>
          <t>System of equations: y = x - 1 and y = 19(x - 1)^2 - 20.</t>
        </is>
      </c>
      <c r="E78" s="5" t="inlineStr">
        <is>
          <t>Calculator Allowed. What is one possible value of x - 1?</t>
        </is>
      </c>
      <c r="F78" s="5" t="inlineStr">
        <is>
          <t>Student-Produced Response (Grid-in). Enter the exact integer or fraction.</t>
        </is>
      </c>
      <c r="G78" s="14" t="n"/>
      <c r="H78" s="7">
        <f>IF(ISBLANK(G78), "⏳ Chờ đáp án", IF(UPPER(TRIM(G78))="1", "✅ Đúng", "❌ Sai"))</f>
        <v/>
      </c>
      <c r="I78" s="14" t="n"/>
      <c r="J78" s="7">
        <f>IF(ISBLANK(I78), "", IF(UPPER(TRIM(I78))="1", "✅ Đúng", "❌ Sai"))</f>
        <v/>
      </c>
      <c r="K78" s="14" t="n"/>
      <c r="L78" s="7">
        <f>IF(ISBLANK(K78), "", IF(UPPER(TRIM(K78))="1", "✅ Đúng", "❌ Sai"))</f>
        <v/>
      </c>
      <c r="M78" s="7">
        <f>COUNTIF(H78, "❌ Sai") + COUNTIF(J78, "❌ Sai") + COUNTIF(L78, "❌ Sai")</f>
        <v/>
      </c>
      <c r="N78" s="7">
        <f>IF(ISBLANK(G78), "⏳ Chờ làm", IF(H78="✅ Đúng", "✅ Đúng ngay L1", IF(J78="✅ Đúng", "✅ Đúng ở L2", IF(L78="✅ Đúng", "✅ Đúng ở L3", "❌ Chưa đúng sau 3 lần"))))</f>
        <v/>
      </c>
      <c r="O78" s="13">
        <f>IF(ISBLANK(F78), "💡 Nhập đáp án vào Lần thử 1", IF(G78="✅ Đúng", "✨ Xuất sắc! Bạn đã làm đúng.", "💡 Gợi ý: " &amp; "Sử dụng phương pháp thế hoặc cộng đại số để giải hệ phương trình gồm đường thẳng và parabol."))</f>
        <v/>
      </c>
      <c r="P78" s="5">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Q78" s="5">
        <f>IF(OR(H78="✅ Đúng", J78="✅ Đúng", L78="✅ Đúng"), "Substitute u = x - 1 =&gt; 19u^2 - u - 20 = 0 =&gt; u = 1 or u = 20/19.", "🔒 Trả lời đúng để mở khóa Strategic Tip!")</f>
        <v/>
      </c>
    </row>
    <row r="79" ht="15.75" customHeight="1" s="19">
      <c r="A79" s="7" t="inlineStr">
        <is>
          <t>M75</t>
        </is>
      </c>
      <c r="B79" s="7" t="inlineStr">
        <is>
          <t>Math Module 1</t>
        </is>
      </c>
      <c r="C79" s="5" t="inlineStr">
        <is>
          <t>Systems of Linear Equations (No Solution)</t>
        </is>
      </c>
      <c r="D79" s="5" t="inlineStr">
        <is>
          <t>System of equations: 18x + 6y = 8y + 9 and ty = 1/5 + 9x.</t>
        </is>
      </c>
      <c r="E79" s="5" t="inlineStr">
        <is>
          <t>Calculator Allowed. In the given system, t is a constant. If the system has no solution, what is the value of t?</t>
        </is>
      </c>
      <c r="F79" s="5" t="inlineStr">
        <is>
          <t>A. 1
B. 2
C. 9
D. 18</t>
        </is>
      </c>
      <c r="G79" s="14" t="n"/>
      <c r="H79" s="7">
        <f>IF(ISBLANK(G79), "⏳ Chờ đáp án", IF(UPPER(TRIM(G79))="B", "✅ Đúng", "❌ Sai"))</f>
        <v/>
      </c>
      <c r="I79" s="14" t="n"/>
      <c r="J79" s="7">
        <f>IF(ISBLANK(I79), "", IF(UPPER(TRIM(I79))="B", "✅ Đúng", "❌ Sai"))</f>
        <v/>
      </c>
      <c r="K79" s="14" t="n"/>
      <c r="L79" s="7">
        <f>IF(ISBLANK(K79), "", IF(UPPER(TRIM(K79))="B", "✅ Đúng", "❌ Sai"))</f>
        <v/>
      </c>
      <c r="M79" s="7">
        <f>COUNTIF(H79, "❌ Sai") + COUNTIF(J79, "❌ Sai") + COUNTIF(L79, "❌ Sai")</f>
        <v/>
      </c>
      <c r="N79" s="7">
        <f>IF(ISBLANK(G79), "⏳ Chờ làm", IF(H79="✅ Đúng", "✅ Đúng ngay L1", IF(J79="✅ Đúng", "✅ Đúng ở L2", IF(L79="✅ Đúng", "✅ Đúng ở L3", "❌ Chưa đúng sau 3 lần"))))</f>
        <v/>
      </c>
      <c r="O79" s="13">
        <f>IF(ISBLANK(F79), "💡 Nhập đáp án vào Lần thử 1", IF(G79="✅ Đúng", "✨ Xuất sắc! Bạn đã làm đúng.", "💡 Gợi ý: " &amp; "Để hệ phương trình tuyến tính vô nghiệm, hai đường thẳng phải song song (cùng hệ số góc nhưng khác tung độ gốc)."))</f>
        <v/>
      </c>
      <c r="P79" s="5">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Q79" s="5">
        <f>IF(OR(H79="✅ Đúng", J79="✅ Đúng", L79="✅ Đúng"), "Parallel Lines Condition: m1 = m2 =&gt; t = 1.", "🔒 Trả lời đúng để mở khóa Strategic Tip!")</f>
        <v/>
      </c>
    </row>
    <row r="80" ht="15.75" customHeight="1" s="19">
      <c r="A80" s="7" t="inlineStr">
        <is>
          <t>M76</t>
        </is>
      </c>
      <c r="B80" s="7" t="inlineStr">
        <is>
          <t>Math Module 1</t>
        </is>
      </c>
      <c r="C80" s="5" t="inlineStr">
        <is>
          <t>Circle Geometry (Radius from Intercepts)</t>
        </is>
      </c>
      <c r="D80" s="5" t="inlineStr">
        <is>
          <t>A circle in the xy-plane has center (24, 5) and y-intercepts (0, -27) and (0, 37).</t>
        </is>
      </c>
      <c r="E80" s="5" t="inlineStr">
        <is>
          <t>Calculator Allowed. What is the radius of this circle?</t>
        </is>
      </c>
      <c r="F80" s="5" t="inlineStr">
        <is>
          <t>A. 40
B. 37
C. 32
D. 25</t>
        </is>
      </c>
      <c r="G80" s="14" t="n"/>
      <c r="H80" s="7">
        <f>IF(ISBLANK(G80), "⏳ Chờ đáp án", IF(UPPER(TRIM(G80))="D", "✅ Đúng", "❌ Sai"))</f>
        <v/>
      </c>
      <c r="I80" s="14" t="n"/>
      <c r="J80" s="7">
        <f>IF(ISBLANK(I80), "", IF(UPPER(TRIM(I80))="D", "✅ Đúng", "❌ Sai"))</f>
        <v/>
      </c>
      <c r="K80" s="14" t="n"/>
      <c r="L80" s="7">
        <f>IF(ISBLANK(K80), "", IF(UPPER(TRIM(K80))="D", "✅ Đúng", "❌ Sai"))</f>
        <v/>
      </c>
      <c r="M80" s="7">
        <f>COUNTIF(H80, "❌ Sai") + COUNTIF(J80, "❌ Sai") + COUNTIF(L80, "❌ Sai")</f>
        <v/>
      </c>
      <c r="N80" s="7">
        <f>IF(ISBLANK(G80), "⏳ Chờ làm", IF(H80="✅ Đúng", "✅ Đúng ngay L1", IF(J80="✅ Đúng", "✅ Đúng ở L2", IF(L80="✅ Đúng", "✅ Đúng ở L3", "❌ Chưa đúng sau 3 lần"))))</f>
        <v/>
      </c>
      <c r="O80" s="13">
        <f>IF(ISBLANK(F80), "💡 Nhập đáp án vào Lần thử 1", IF(G80="✅ Đúng", "✨ Xuất sắc! Bạn đã làm đúng.", "💡 Gợi ý: " &amp; "Xác định tọa độ tâm và giao điểm với các trục tọa độ để tính bán kính đường tròn."))</f>
        <v/>
      </c>
      <c r="P80" s="5">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Q80" s="5">
        <f>IF(OR(H80="✅ Đúng", J80="✅ Đúng", L80="✅ Đúng"), "Distance Formula: r = sqrt((x_center - 0)^2 + (y_center - y_int)^2) = sqrt(24^2 + 32^2) = 40.", "🔒 Trả lời đúng để mở khóa Strategic Tip!")</f>
        <v/>
      </c>
    </row>
    <row r="81" ht="15.75" customHeight="1" s="19">
      <c r="A81" s="7" t="inlineStr">
        <is>
          <t>M77</t>
        </is>
      </c>
      <c r="B81" s="7" t="inlineStr">
        <is>
          <t>Math Module 2</t>
        </is>
      </c>
      <c r="C81" s="5" t="inlineStr">
        <is>
          <t>Circle Equations (Radius)</t>
        </is>
      </c>
      <c r="D81" s="5" t="inlineStr">
        <is>
          <t>A circle in the xy-plane has equation (x - 4)^2 + (y + 1)^2 = 49.</t>
        </is>
      </c>
      <c r="E81" s="5" t="inlineStr">
        <is>
          <t>Calculator Allowed. What is the radius of the circle?</t>
        </is>
      </c>
      <c r="F81" s="5" t="inlineStr">
        <is>
          <t>A. 7
B. 14
C. 24.5
D. 49</t>
        </is>
      </c>
      <c r="G81" s="14" t="n"/>
      <c r="H81" s="7">
        <f>IF(ISBLANK(G81), "⏳ Chờ đáp án", IF(UPPER(TRIM(G81))="A", "✅ Đúng", "❌ Sai"))</f>
        <v/>
      </c>
      <c r="I81" s="14" t="n"/>
      <c r="J81" s="7">
        <f>IF(ISBLANK(I81), "", IF(UPPER(TRIM(I81))="A", "✅ Đúng", "❌ Sai"))</f>
        <v/>
      </c>
      <c r="K81" s="14" t="n"/>
      <c r="L81" s="7">
        <f>IF(ISBLANK(K81), "", IF(UPPER(TRIM(K81))="A", "✅ Đúng", "❌ Sai"))</f>
        <v/>
      </c>
      <c r="M81" s="7">
        <f>COUNTIF(H81, "❌ Sai") + COUNTIF(J81, "❌ Sai") + COUNTIF(L81, "❌ Sai")</f>
        <v/>
      </c>
      <c r="N81" s="7">
        <f>IF(ISBLANK(G81), "⏳ Chờ làm", IF(H81="✅ Đúng", "✅ Đúng ngay L1", IF(J81="✅ Đúng", "✅ Đúng ở L2", IF(L81="✅ Đúng", "✅ Đúng ở L3", "❌ Chưa đúng sau 3 lần"))))</f>
        <v/>
      </c>
      <c r="O81" s="13">
        <f>IF(ISBLANK(F81), "💡 Nhập đáp án vào Lần thử 1", IF(G81="✅ Đúng", "✨ Xuất sắc! Bạn đã làm đúng.", "💡 Gợi ý: " &amp; "So sánh phương trình đã cho với phương trình đường tròn chuẩn (x - h)^2 + (y - k)^2 = r^2 để tìm bán kính r."))</f>
        <v/>
      </c>
      <c r="P81" s="5">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Q81" s="5">
        <f>IF(OR(H81="✅ Đúng", J81="✅ Đúng", L81="✅ Đúng"), "Circle Equation: (x - h)^2 + (y - k)^2 = r^2 =&gt; r = sqrt(49) = 7.", "🔒 Trả lời đúng để mở khóa Strategic Tip!")</f>
        <v/>
      </c>
    </row>
    <row r="82" ht="15.75" customHeight="1" s="19">
      <c r="A82" s="7" t="inlineStr">
        <is>
          <t>M78</t>
        </is>
      </c>
      <c r="B82" s="7" t="inlineStr">
        <is>
          <t>Math Module 2</t>
        </is>
      </c>
      <c r="C82" s="5" t="inlineStr">
        <is>
          <t>Linear Functions &amp; Table Data</t>
        </is>
      </c>
      <c r="D82" s="5" t="inlineStr">
        <is>
          <t>A table shows area x (sq ft) and water f(x) (gallons): (2400, 4320), (3600, 6480), (4800, 8640).</t>
        </is>
      </c>
      <c r="E82" s="5" t="inlineStr">
        <is>
          <t>Calculator Allowed. Which equation defines f(x)?</t>
        </is>
      </c>
      <c r="F82" s="5" t="inlineStr">
        <is>
          <t>A. f(x) = 1.8x
B. f(x) = 0.6x
C. f(x) = 2,160x
D. f(x) = 4,320x</t>
        </is>
      </c>
      <c r="G82" s="14" t="n"/>
      <c r="H82" s="7">
        <f>IF(ISBLANK(G82), "⏳ Chờ đáp án", IF(UPPER(TRIM(G82))="A", "✅ Đúng", "❌ Sai"))</f>
        <v/>
      </c>
      <c r="I82" s="14" t="n"/>
      <c r="J82" s="7">
        <f>IF(ISBLANK(I82), "", IF(UPPER(TRIM(I82))="A", "✅ Đúng", "❌ Sai"))</f>
        <v/>
      </c>
      <c r="K82" s="14" t="n"/>
      <c r="L82" s="7">
        <f>IF(ISBLANK(K82), "", IF(UPPER(TRIM(K82))="A", "✅ Đúng", "❌ Sai"))</f>
        <v/>
      </c>
      <c r="M82" s="7">
        <f>COUNTIF(H82, "❌ Sai") + COUNTIF(J82, "❌ Sai") + COUNTIF(L82, "❌ Sai")</f>
        <v/>
      </c>
      <c r="N82" s="7">
        <f>IF(ISBLANK(G82), "⏳ Chờ làm", IF(H82="✅ Đúng", "✅ Đúng ngay L1", IF(J82="✅ Đúng", "✅ Đúng ở L2", IF(L82="✅ Đúng", "✅ Đúng ở L3", "❌ Chưa đúng sau 3 lần"))))</f>
        <v/>
      </c>
      <c r="O82" s="13">
        <f>IF(ISBLANK(F82), "💡 Nhập đáp án vào Lần thử 1", IF(G82="✅ Đúng", "✨ Xuất sắc! Bạn đã làm đúng.", "💡 Gợi ý: " &amp; "Tính tỉ số thay đổi y/x từ bảng giá trị để xác định hệ số góc và dạng hàm số tương ứng."))</f>
        <v/>
      </c>
      <c r="P82" s="5">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Q82" s="5">
        <f>IF(OR(H82="✅ Đúng", J82="✅ Đúng", L82="✅ Đúng"), "Direct Variation Ratio: k = y / x = 4320 / 2400 = 1.8.", "🔒 Trả lời đúng để mở khóa Strategic Tip!")</f>
        <v/>
      </c>
    </row>
    <row r="83" ht="15.75" customHeight="1" s="19">
      <c r="A83" s="7" t="inlineStr">
        <is>
          <t>M79</t>
        </is>
      </c>
      <c r="B83" s="7" t="inlineStr">
        <is>
          <t>Math Module 2</t>
        </is>
      </c>
      <c r="C83" s="5" t="inlineStr">
        <is>
          <t>Linear Equations (Infinitely Many Solutions)</t>
        </is>
      </c>
      <c r="D83" s="5" t="inlineStr">
        <is>
          <t>Given the equation: 15x + 435 = a(x + 29).</t>
        </is>
      </c>
      <c r="E83" s="5" t="inlineStr">
        <is>
          <t>Calculator Allowed. If the equation has infinitely many solutions, what is the value of a?</t>
        </is>
      </c>
      <c r="F83" s="5" t="inlineStr">
        <is>
          <t>Student-Produced Response (Grid-in). Enter the exact integer.</t>
        </is>
      </c>
      <c r="G83" s="14" t="n"/>
      <c r="H83" s="7">
        <f>IF(ISBLANK(G83), "⏳ Chờ đáp án", IF(UPPER(TRIM(G83))="15", "✅ Đúng", "❌ Sai"))</f>
        <v/>
      </c>
      <c r="I83" s="14" t="n"/>
      <c r="J83" s="7">
        <f>IF(ISBLANK(I83), "", IF(UPPER(TRIM(I83))="15", "✅ Đúng", "❌ Sai"))</f>
        <v/>
      </c>
      <c r="K83" s="14" t="n"/>
      <c r="L83" s="7">
        <f>IF(ISBLANK(K83), "", IF(UPPER(TRIM(K83))="15", "✅ Đúng", "❌ Sai"))</f>
        <v/>
      </c>
      <c r="M83" s="7">
        <f>COUNTIF(H83, "❌ Sai") + COUNTIF(J83, "❌ Sai") + COUNTIF(L83, "❌ Sai")</f>
        <v/>
      </c>
      <c r="N83" s="7">
        <f>IF(ISBLANK(G83), "⏳ Chờ làm", IF(H83="✅ Đúng", "✅ Đúng ngay L1", IF(J83="✅ Đúng", "✅ Đúng ở L2", IF(L83="✅ Đúng", "✅ Đúng ở L3", "❌ Chưa đúng sau 3 lần"))))</f>
        <v/>
      </c>
      <c r="O83" s="13">
        <f>IF(ISBLANK(F83), "💡 Nhập đáp án vào Lần thử 1", IF(G83="✅ Đúng", "✨ Xuất sắc! Bạn đã làm đúng.", "💡 Gợi ý: " &amp; "Để hệ phương trình có vô số nghiệm, các hệ số tương ứng của hai phương trình phải tỉ lệ với nhau."))</f>
        <v/>
      </c>
      <c r="P83" s="5">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Q83" s="5">
        <f>IF(OR(H83="✅ Đúng", J83="✅ Đúng", L83="✅ Đúng"), "Infinitely Many Solutions: Identical coefficients on both sides =&gt; a = 15.", "🔒 Trả lời đúng để mở khóa Strategic Tip!")</f>
        <v/>
      </c>
    </row>
    <row r="84" ht="15.75" customHeight="1" s="19">
      <c r="A84" s="7" t="inlineStr">
        <is>
          <t>M80</t>
        </is>
      </c>
      <c r="B84" s="7" t="inlineStr">
        <is>
          <t>Math Module 2</t>
        </is>
      </c>
      <c r="C84" s="5" t="inlineStr">
        <is>
          <t>Linear Modeling (Pricing Structure)</t>
        </is>
      </c>
      <c r="D84" s="5" t="inlineStr">
        <is>
          <t>A plumbing company charges 116 dollars for the first hour and 70 dollars for each additional hour, plus parts cost z dollars (x &gt;= 1).</t>
        </is>
      </c>
      <c r="E84" s="5" t="inlineStr">
        <is>
          <t>Calculator Allowed. Which equation represents total cost y?</t>
        </is>
      </c>
      <c r="F84" s="5" t="inlineStr">
        <is>
          <t>A. y = 70x + z
B. y = 70x + z + 46
C. y = 116x + z
D. y = 116x + 70z + 46</t>
        </is>
      </c>
      <c r="G84" s="14" t="n"/>
      <c r="H84" s="7">
        <f>IF(ISBLANK(G84), "⏳ Chờ đáp án", IF(UPPER(TRIM(G84))="B", "✅ Đúng", "❌ Sai"))</f>
        <v/>
      </c>
      <c r="I84" s="14" t="n"/>
      <c r="J84" s="7">
        <f>IF(ISBLANK(I84), "", IF(UPPER(TRIM(I84))="B", "✅ Đúng", "❌ Sai"))</f>
        <v/>
      </c>
      <c r="K84" s="14" t="n"/>
      <c r="L84" s="7">
        <f>IF(ISBLANK(K84), "", IF(UPPER(TRIM(K84))="B", "✅ Đúng", "❌ Sai"))</f>
        <v/>
      </c>
      <c r="M84" s="7">
        <f>COUNTIF(H84, "❌ Sai") + COUNTIF(J84, "❌ Sai") + COUNTIF(L84, "❌ Sai")</f>
        <v/>
      </c>
      <c r="N84" s="7">
        <f>IF(ISBLANK(G84), "⏳ Chờ làm", IF(H84="✅ Đúng", "✅ Đúng ngay L1", IF(J84="✅ Đúng", "✅ Đúng ở L2", IF(L84="✅ Đúng", "✅ Đúng ở L3", "❌ Chưa đúng sau 3 lần"))))</f>
        <v/>
      </c>
      <c r="O84" s="13">
        <f>IF(ISBLANK(F84), "💡 Nhập đáp án vào Lần thử 1", IF(G84="✅ Đúng", "✨ Xuất sắc! Bạn đã làm đúng.", "💡 Gợi ý: " &amp; "Phân tích chi phí cố định (hằng số) và chi phí biến đổi (hệ số nhân với số lượng) để lập mô hình."))</f>
        <v/>
      </c>
      <c r="P84" s="5">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c>
      <c r="Q84" s="5">
        <f>IF(OR(H84="✅ Đúng", J84="✅ Đúng", L84="✅ Đúng"), "Cost Model: y = First Hour + Additional Hours*(x - 1) + Parts = 116 + 70(x - 1) + z = 70x + z + 46.", "🔒 Trả lời đúng để mở khóa Strategic Tip!")</f>
        <v/>
      </c>
    </row>
    <row r="85" ht="15.75" customHeight="1" s="19">
      <c r="A85" s="7" t="inlineStr">
        <is>
          <t>M81</t>
        </is>
      </c>
      <c r="B85" s="7" t="inlineStr">
        <is>
          <t>Math Module 2</t>
        </is>
      </c>
      <c r="C85" s="5" t="inlineStr">
        <is>
          <t>Absolute Value Functions</t>
        </is>
      </c>
      <c r="D85" s="5" t="inlineStr">
        <is>
          <t>Function h(x) = |x - 8| - |6 - x| + a. Given h(-4) = 1.</t>
        </is>
      </c>
      <c r="E85" s="5" t="inlineStr">
        <is>
          <t>Calculator Allowed. What is the value of a?</t>
        </is>
      </c>
      <c r="F85" s="5" t="inlineStr">
        <is>
          <t>A. -1
B. 0
C. -1
D. 1</t>
        </is>
      </c>
      <c r="G85" s="14" t="n"/>
      <c r="H85" s="7">
        <f>IF(ISBLANK(G85), "⏳ Chờ đáp án", IF(UPPER(TRIM(G85))="C", "✅ Đúng", "❌ Sai"))</f>
        <v/>
      </c>
      <c r="I85" s="14" t="n"/>
      <c r="J85" s="7">
        <f>IF(ISBLANK(I85), "", IF(UPPER(TRIM(I85))="C", "✅ Đúng", "❌ Sai"))</f>
        <v/>
      </c>
      <c r="K85" s="14" t="n"/>
      <c r="L85" s="7">
        <f>IF(ISBLANK(K85), "", IF(UPPER(TRIM(K85))="C", "✅ Đúng", "❌ Sai"))</f>
        <v/>
      </c>
      <c r="M85" s="7">
        <f>COUNTIF(H85, "❌ Sai") + COUNTIF(J85, "❌ Sai") + COUNTIF(L85, "❌ Sai")</f>
        <v/>
      </c>
      <c r="N85" s="7">
        <f>IF(ISBLANK(G85), "⏳ Chờ làm", IF(H85="✅ Đúng", "✅ Đúng ngay L1", IF(J85="✅ Đúng", "✅ Đúng ở L2", IF(L85="✅ Đúng", "✅ Đúng ở L3", "❌ Chưa đúng sau 3 lần"))))</f>
        <v/>
      </c>
      <c r="O85" s="13">
        <f>IF(ISBLANK(F85), "💡 Nhập đáp án vào Lần thử 1", IF(G85="✅ Đúng", "✨ Xuất sắc! Bạn đã làm đúng.", "💡 Gợi ý: " &amp; "Xác định tập giá trị của hàm giá trị tuyệt đối y = |f(x)| + k để tìm điểm cực trị."))</f>
        <v/>
      </c>
      <c r="P85" s="5">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Q85" s="5">
        <f>IF(OR(H85="✅ Đúng", J85="✅ Đúng", L85="✅ Đúng"), "Evaluate h(-4): 12 - 10 + a = 1 =&gt; 2 + a = 1 =&gt; a = -1.", "🔒 Trả lời đúng để mở khóa Strategic Tip!")</f>
        <v/>
      </c>
    </row>
    <row r="86" ht="15.75" customHeight="1" s="19">
      <c r="A86" s="7" t="inlineStr">
        <is>
          <t>M82</t>
        </is>
      </c>
      <c r="B86" s="7" t="inlineStr">
        <is>
          <t>Math Module 2</t>
        </is>
      </c>
      <c r="C86" s="5" t="inlineStr">
        <is>
          <t>Perpendicular Lines Slope</t>
        </is>
      </c>
      <c r="D86" s="5" t="inlineStr">
        <is>
          <t>Line h is defined by 2x + 3y - 30 = 0. Line j is perpendicular to line h in the xy-plane.</t>
        </is>
      </c>
      <c r="E86" s="5" t="inlineStr">
        <is>
          <t>Calculator Allowed. What is the slope of line j?</t>
        </is>
      </c>
      <c r="F86" s="5" t="inlineStr">
        <is>
          <t>A. -2/3
B. 2/3
C. -3/2
D. 3/2</t>
        </is>
      </c>
      <c r="G86" s="14" t="n"/>
      <c r="H86" s="7">
        <f>IF(ISBLANK(G86), "⏳ Chờ đáp án", IF(UPPER(TRIM(G86))="D", "✅ Đúng", "❌ Sai"))</f>
        <v/>
      </c>
      <c r="I86" s="14" t="n"/>
      <c r="J86" s="7">
        <f>IF(ISBLANK(I86), "", IF(UPPER(TRIM(I86))="D", "✅ Đúng", "❌ Sai"))</f>
        <v/>
      </c>
      <c r="K86" s="14" t="n"/>
      <c r="L86" s="7">
        <f>IF(ISBLANK(K86), "", IF(UPPER(TRIM(K86))="D", "✅ Đúng", "❌ Sai"))</f>
        <v/>
      </c>
      <c r="M86" s="7">
        <f>COUNTIF(H86, "❌ Sai") + COUNTIF(J86, "❌ Sai") + COUNTIF(L86, "❌ Sai")</f>
        <v/>
      </c>
      <c r="N86" s="7">
        <f>IF(ISBLANK(G86), "⏳ Chờ làm", IF(H86="✅ Đúng", "✅ Đúng ngay L1", IF(J86="✅ Đúng", "✅ Đúng ở L2", IF(L86="✅ Đúng", "✅ Đúng ở L3", "❌ Chưa đúng sau 3 lần"))))</f>
        <v/>
      </c>
      <c r="O86" s="13">
        <f>IF(ISBLANK(F86), "💡 Nhập đáp án vào Lần thử 1", IF(G86="✅ Đúng", "✨ Xuất sắc! Bạn đã làm đúng.", "💡 Gợi ý: " &amp; "Hai đường thẳng vuông góc có tích hai hệ số góc bằng -1 (hệ số góc là nghịch đảo đổi dấu)."))</f>
        <v/>
      </c>
      <c r="P86" s="5">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Q86" s="5">
        <f>IF(OR(H86="✅ Đúng", J86="✅ Đúng", L86="✅ Đúng"), "Perpendicular Slope Condition: m1 * m2 = -1 =&gt; m_j = 3/2.", "🔒 Trả lời đúng để mở khóa Strategic Tip!")</f>
        <v/>
      </c>
    </row>
    <row r="87" ht="15.75" customHeight="1" s="19">
      <c r="A87" s="7" t="inlineStr">
        <is>
          <t>M83</t>
        </is>
      </c>
      <c r="B87" s="7" t="inlineStr">
        <is>
          <t>Math Module 2</t>
        </is>
      </c>
      <c r="C87" s="5" t="inlineStr">
        <is>
          <t>Exponential Population Growth Rate</t>
        </is>
      </c>
      <c r="D87" s="5" t="inlineStr">
        <is>
          <t>Model P(t) = 250(1.08)^t gives the population after t hours.</t>
        </is>
      </c>
      <c r="E87" s="5" t="inlineStr">
        <is>
          <t>Calculator Allowed. By what percentage does the population increase each hour?</t>
        </is>
      </c>
      <c r="F87" s="5" t="inlineStr">
        <is>
          <t>A. 0.08%
B. 8%
C. 25%
D. 108%</t>
        </is>
      </c>
      <c r="G87" s="14" t="n"/>
      <c r="H87" s="7">
        <f>IF(ISBLANK(G87), "⏳ Chờ đáp án", IF(UPPER(TRIM(G87))="B", "✅ Đúng", "❌ Sai"))</f>
        <v/>
      </c>
      <c r="I87" s="14" t="n"/>
      <c r="J87" s="7">
        <f>IF(ISBLANK(I87), "", IF(UPPER(TRIM(I87))="B", "✅ Đúng", "❌ Sai"))</f>
        <v/>
      </c>
      <c r="K87" s="14" t="n"/>
      <c r="L87" s="7">
        <f>IF(ISBLANK(K87), "", IF(UPPER(TRIM(K87))="B", "✅ Đúng", "❌ Sai"))</f>
        <v/>
      </c>
      <c r="M87" s="7">
        <f>COUNTIF(H87, "❌ Sai") + COUNTIF(J87, "❌ Sai") + COUNTIF(L87, "❌ Sai")</f>
        <v/>
      </c>
      <c r="N87" s="7">
        <f>IF(ISBLANK(G87), "⏳ Chờ làm", IF(H87="✅ Đúng", "✅ Đúng ngay L1", IF(J87="✅ Đúng", "✅ Đúng ở L2", IF(L87="✅ Đúng", "✅ Đúng ở L3", "❌ Chưa đúng sau 3 lần"))))</f>
        <v/>
      </c>
      <c r="O87" s="13">
        <f>IF(ISBLANK(F87), "💡 Nhập đáp án vào Lần thử 1", IF(G87="✅ Đúng", "✨ Xuất sắc! Bạn đã làm đúng.", "💡 Gợi ý: " &amp; "Xác định hệ số tăng trưởng trong mô hình mũ y = a(1 + r)^t để tìm tỉ lệ phần trăm tăng hàng năm."))</f>
        <v/>
      </c>
      <c r="P87" s="5">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Q87" s="5">
        <f>IF(OR(H87="✅ Đúng", J87="✅ Đúng", L87="✅ Đúng"), "Growth Factor = 1 + r =&gt; 1.08 = 1 + 0.08 =&gt; r = 8%.", "🔒 Trả lời đúng để mở khóa Strategic Tip!")</f>
        <v/>
      </c>
    </row>
    <row r="88" ht="15.75" customHeight="1" s="19">
      <c r="A88" s="7" t="inlineStr">
        <is>
          <t>M84</t>
        </is>
      </c>
      <c r="B88" s="7" t="inlineStr">
        <is>
          <t>Math Module 2</t>
        </is>
      </c>
      <c r="C88" s="5" t="inlineStr">
        <is>
          <t>Exponential Cooling Evaluation</t>
        </is>
      </c>
      <c r="D88" s="5" t="inlineStr">
        <is>
          <t>Temperature function g(t) = 296 + (362 - 296)(2.72)^(-0.104t).</t>
        </is>
      </c>
      <c r="E88" s="5" t="inlineStr">
        <is>
          <t>Calculator Allowed. What was the approximate temperature, in kelvins, when the liquid was placed on the table (t = 0)?</t>
        </is>
      </c>
      <c r="F88" s="5" t="inlineStr">
        <is>
          <t>Student-Produced Response (Grid-in). Enter the exact integer.</t>
        </is>
      </c>
      <c r="G88" s="14" t="n"/>
      <c r="H88" s="7">
        <f>IF(ISBLANK(G88), "⏳ Chờ đáp án", IF(UPPER(TRIM(G88))="362", "✅ Đúng", "❌ Sai"))</f>
        <v/>
      </c>
      <c r="I88" s="14" t="n"/>
      <c r="J88" s="7">
        <f>IF(ISBLANK(I88), "", IF(UPPER(TRIM(I88))="362", "✅ Đúng", "❌ Sai"))</f>
        <v/>
      </c>
      <c r="K88" s="14" t="n"/>
      <c r="L88" s="7">
        <f>IF(ISBLANK(K88), "", IF(UPPER(TRIM(K88))="362", "✅ Đúng", "❌ Sai"))</f>
        <v/>
      </c>
      <c r="M88" s="7">
        <f>COUNTIF(H88, "❌ Sai") + COUNTIF(J88, "❌ Sai") + COUNTIF(L88, "❌ Sai")</f>
        <v/>
      </c>
      <c r="N88" s="7">
        <f>IF(ISBLANK(G88), "⏳ Chờ làm", IF(H88="✅ Đúng", "✅ Đúng ngay L1", IF(J88="✅ Đúng", "✅ Đúng ở L2", IF(L88="✅ Đúng", "✅ Đúng ở L3", "❌ Chưa đúng sau 3 lần"))))</f>
        <v/>
      </c>
      <c r="O88" s="13">
        <f>IF(ISBLANK(F88), "💡 Nhập đáp án vào Lần thử 1", IF(G88="✅ Đúng", "✨ Xuất sắc! Bạn đã làm đúng.", "💡 Gợi ý: " &amp; "Thay giá trị biến thời gian t vào công thức suy giảm mũ để tính giá trị còn lại."))</f>
        <v/>
      </c>
      <c r="P88" s="5">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c>
      <c r="Q88" s="5">
        <f>IF(OR(H88="✅ Đúng", J88="✅ Đúng", L88="✅ Đúng"), "Evaluate at t = 0: g(0) = 296 + (362 - 296) * 1 = 362.", "🔒 Trả lời đúng để mở khóa Strategic Tip!")</f>
        <v/>
      </c>
    </row>
    <row r="89" ht="15.75" customHeight="1" s="19">
      <c r="A89" s="7" t="inlineStr">
        <is>
          <t>M85</t>
        </is>
      </c>
      <c r="B89" s="7" t="inlineStr">
        <is>
          <t>Math Module 2</t>
        </is>
      </c>
      <c r="C89" s="5" t="inlineStr">
        <is>
          <t>Linear Inequalities (Graphing)</t>
        </is>
      </c>
      <c r="D89" s="5" t="inlineStr">
        <is>
          <t>A shaded region lies below the line passing through (0, 4) with slope -3.</t>
        </is>
      </c>
      <c r="E89" s="5" t="inlineStr">
        <is>
          <t>Calculator Allowed. Which inequality represents the shaded region?</t>
        </is>
      </c>
      <c r="F89" s="5" t="inlineStr">
        <is>
          <t>A. y &lt; 3x + 4
B. y &lt; 3x - 4
C. y &gt; 3x + 4
D. y &lt; -3x + 4</t>
        </is>
      </c>
      <c r="G89" s="14" t="n"/>
      <c r="H89" s="7">
        <f>IF(ISBLANK(G89), "⏳ Chờ đáp án", IF(UPPER(TRIM(G89))="D", "✅ Đúng", "❌ Sai"))</f>
        <v/>
      </c>
      <c r="I89" s="14" t="n"/>
      <c r="J89" s="7">
        <f>IF(ISBLANK(I89), "", IF(UPPER(TRIM(I89))="D", "✅ Đúng", "❌ Sai"))</f>
        <v/>
      </c>
      <c r="K89" s="14" t="n"/>
      <c r="L89" s="7">
        <f>IF(ISBLANK(K89), "", IF(UPPER(TRIM(K89))="D", "✅ Đúng", "❌ Sai"))</f>
        <v/>
      </c>
      <c r="M89" s="7">
        <f>COUNTIF(H89, "❌ Sai") + COUNTIF(J89, "❌ Sai") + COUNTIF(L89, "❌ Sai")</f>
        <v/>
      </c>
      <c r="N89" s="7">
        <f>IF(ISBLANK(G89), "⏳ Chờ làm", IF(H89="✅ Đúng", "✅ Đúng ngay L1", IF(J89="✅ Đúng", "✅ Đúng ở L2", IF(L89="✅ Đúng", "✅ Đúng ở L3", "❌ Chưa đúng sau 3 lần"))))</f>
        <v/>
      </c>
      <c r="O89" s="13">
        <f>IF(ISBLANK(F89), "💡 Nhập đáp án vào Lần thử 1", IF(G89="✅ Đúng", "✨ Xuất sắc! Bạn đã làm đúng.", "💡 Gợi ý: " &amp; "Biến đổi bất phương trình về dạng y &lt; mx + b hoặc y &gt; mx + b để xác định miền nghiệm nằm trên hay dưới đường biên."))</f>
        <v/>
      </c>
      <c r="P89" s="5">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Q89" s="5">
        <f>IF(OR(H89="✅ Đúng", J89="✅ Đúng", L89="✅ Đúng"), "Linear Inequality: Region below solid line y = -3x + 4 is y &lt; -3x + 4.", "🔒 Trả lời đúng để mở khóa Strategic Tip!")</f>
        <v/>
      </c>
    </row>
    <row r="90" ht="15.75" customHeight="1" s="19">
      <c r="A90" s="7" t="inlineStr">
        <is>
          <t>M86</t>
        </is>
      </c>
      <c r="B90" s="7" t="inlineStr">
        <is>
          <t>Math Module 2</t>
        </is>
      </c>
      <c r="C90" s="5" t="inlineStr">
        <is>
          <t>Systems of Linear Equations (Substitution)</t>
        </is>
      </c>
      <c r="D90" s="5" t="inlineStr">
        <is>
          <t>System of equations: 3(2x) + 8(9y) = 534 and 3(2x) - 8(9y) = -618.</t>
        </is>
      </c>
      <c r="E90" s="5" t="inlineStr">
        <is>
          <t>Calculator Allowed. What is the value of 2x + 9y?</t>
        </is>
      </c>
      <c r="F90" s="5" t="inlineStr">
        <is>
          <t>A. -86
B. -14
C. 23
D. 72</t>
        </is>
      </c>
      <c r="G90" s="14" t="n"/>
      <c r="H90" s="7">
        <f>IF(ISBLANK(G90), "⏳ Chờ đáp án", IF(UPPER(TRIM(G90))="C", "✅ Đúng", "❌ Sai"))</f>
        <v/>
      </c>
      <c r="I90" s="14" t="n"/>
      <c r="J90" s="7">
        <f>IF(ISBLANK(I90), "", IF(UPPER(TRIM(I90))="C", "✅ Đúng", "❌ Sai"))</f>
        <v/>
      </c>
      <c r="K90" s="14" t="n"/>
      <c r="L90" s="7">
        <f>IF(ISBLANK(K90), "", IF(UPPER(TRIM(K90))="C", "✅ Đúng", "❌ Sai"))</f>
        <v/>
      </c>
      <c r="M90" s="7">
        <f>COUNTIF(H90, "❌ Sai") + COUNTIF(J90, "❌ Sai") + COUNTIF(L90, "❌ Sai")</f>
        <v/>
      </c>
      <c r="N90" s="7">
        <f>IF(ISBLANK(G90), "⏳ Chờ làm", IF(H90="✅ Đúng", "✅ Đúng ngay L1", IF(J90="✅ Đúng", "✅ Đúng ở L2", IF(L90="✅ Đúng", "✅ Đúng ở L3", "❌ Chưa đúng sau 3 lần"))))</f>
        <v/>
      </c>
      <c r="O90" s="13">
        <f>IF(ISBLANK(F90), "💡 Nhập đáp án vào Lần thử 1", IF(G90="✅ Đúng", "✨ Xuất sắc! Bạn đã làm đúng.", "💡 Gợi ý: " &amp; "Sử dụng phương pháp cộng đại số hoặc thế để tìm tọa độ (x, y) rồi tính giá trị của biểu thức đề bài yêu cầu."))</f>
        <v/>
      </c>
      <c r="P90" s="5">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Q90" s="5">
        <f>IF(OR(H90="✅ Đúng", J90="✅ Đúng", L90="✅ Đúng"), "Add equations: 12x = -84 =&gt; x = -7 =&gt; 2x = -14; 144y = 1152 =&gt; 9y = 72 =&gt; -14 + 72 = 58.", "🔒 Trả lời đúng để mở khóa Strategic Tip!")</f>
        <v/>
      </c>
    </row>
    <row r="91" ht="15.75" customHeight="1" s="19">
      <c r="A91" s="7" t="inlineStr">
        <is>
          <t>M87</t>
        </is>
      </c>
      <c r="B91" s="7" t="inlineStr">
        <is>
          <t>Math Module 2</t>
        </is>
      </c>
      <c r="C91" s="5" t="inlineStr">
        <is>
          <t>Quadratic Vertex &amp; Maximum</t>
        </is>
      </c>
      <c r="D91" s="5" t="inlineStr">
        <is>
          <t>Given the function f(x) = -2(x - 3)^2 + 8.</t>
        </is>
      </c>
      <c r="E91" s="5" t="inlineStr">
        <is>
          <t>Calculator Allowed. What is the maximum value of f(x)?</t>
        </is>
      </c>
      <c r="F91" s="5" t="inlineStr">
        <is>
          <t>A. -2
B. 3
C. 6
D. 8</t>
        </is>
      </c>
      <c r="G91" s="14" t="n"/>
      <c r="H91" s="7">
        <f>IF(ISBLANK(G91), "⏳ Chờ đáp án", IF(UPPER(TRIM(G91))="D", "✅ Đúng", "❌ Sai"))</f>
        <v/>
      </c>
      <c r="I91" s="14" t="n"/>
      <c r="J91" s="7">
        <f>IF(ISBLANK(I91), "", IF(UPPER(TRIM(I91))="D", "✅ Đúng", "❌ Sai"))</f>
        <v/>
      </c>
      <c r="K91" s="14" t="n"/>
      <c r="L91" s="7">
        <f>IF(ISBLANK(K91), "", IF(UPPER(TRIM(K91))="D", "✅ Đúng", "❌ Sai"))</f>
        <v/>
      </c>
      <c r="M91" s="7">
        <f>COUNTIF(H91, "❌ Sai") + COUNTIF(J91, "❌ Sai") + COUNTIF(L91, "❌ Sai")</f>
        <v/>
      </c>
      <c r="N91" s="7">
        <f>IF(ISBLANK(G91), "⏳ Chờ làm", IF(H91="✅ Đúng", "✅ Đúng ngay L1", IF(J91="✅ Đúng", "✅ Đúng ở L2", IF(L91="✅ Đúng", "✅ Đúng ở L3", "❌ Chưa đúng sau 3 lần"))))</f>
        <v/>
      </c>
      <c r="O91" s="13">
        <f>IF(ISBLANK(F91), "💡 Nhập đáp án vào Lần thử 1", IF(G91="✅ Đúng", "✨ Xuất sắc! Bạn đã làm đúng.", "💡 Gợi ý: " &amp; "Đưa hàm số bậc hai về dạng đỉnh y = a(x - h)^2 + k để xác định giá trị lớn nhất/nhỏ nhất tại k."))</f>
        <v/>
      </c>
      <c r="P91" s="5">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Q91" s="5">
        <f>IF(OR(H91="✅ Đúng", J91="✅ Đúng", L91="✅ Đúng"), "Parabola Vertex (h, k) with a &lt; 0 has maximum value = k = 8.", "🔒 Trả lời đúng để mở khóa Strategic Tip!")</f>
        <v/>
      </c>
    </row>
    <row r="92" ht="15.75" customHeight="1" s="19">
      <c r="A92" s="7" t="inlineStr">
        <is>
          <t>M88</t>
        </is>
      </c>
      <c r="B92" s="7" t="inlineStr">
        <is>
          <t>Math Module 2</t>
        </is>
      </c>
      <c r="C92" s="5" t="inlineStr">
        <is>
          <t>Statistics (Effect of Adding Outlier on Mean &amp; Median)</t>
        </is>
      </c>
      <c r="D92" s="5" t="inlineStr">
        <is>
          <t>A frequency table summarizes ages of 50 coins (mean = 72.5, median = 70). Vivek adds a 51st coin aged 90 years.</t>
        </is>
      </c>
      <c r="E92" s="5" t="inlineStr">
        <is>
          <t>Calculator Allowed. Which statement correctly compares the mean and median ages of the original and new collections?</t>
        </is>
      </c>
      <c r="F92" s="5" t="inlineStr">
        <is>
          <t>A. The mean age increases, and the median age increases.
B. The mean age for the new collection is greater than the original, but the median age is the same.
C. The mean age is less, and the median age is less.
D. The median age increases, but the mean age remains the same.</t>
        </is>
      </c>
      <c r="G92" s="14" t="n"/>
      <c r="H92" s="7">
        <f>IF(ISBLANK(G92), "⏳ Chờ đáp án", IF(UPPER(TRIM(G92))="B", "✅ Đúng", "❌ Sai"))</f>
        <v/>
      </c>
      <c r="I92" s="14" t="n"/>
      <c r="J92" s="7">
        <f>IF(ISBLANK(I92), "", IF(UPPER(TRIM(I92))="B", "✅ Đúng", "❌ Sai"))</f>
        <v/>
      </c>
      <c r="K92" s="14" t="n"/>
      <c r="L92" s="7">
        <f>IF(ISBLANK(K92), "", IF(UPPER(TRIM(K92))="B", "✅ Đúng", "❌ Sai"))</f>
        <v/>
      </c>
      <c r="M92" s="7">
        <f>COUNTIF(H92, "❌ Sai") + COUNTIF(J92, "❌ Sai") + COUNTIF(L92, "❌ Sai")</f>
        <v/>
      </c>
      <c r="N92" s="7">
        <f>IF(ISBLANK(G92), "⏳ Chờ làm", IF(H92="✅ Đúng", "✅ Đúng ngay L1", IF(J92="✅ Đúng", "✅ Đúng ở L2", IF(L92="✅ Đúng", "✅ Đúng ở L3", "❌ Chưa đúng sau 3 lần"))))</f>
        <v/>
      </c>
      <c r="O92" s="13">
        <f>IF(ISBLANK(F92), "💡 Nhập đáp án vào Lần thử 1", IF(G92="✅ Đúng", "✨ Xuất sắc! Bạn đã làm đúng.", "💡 Gợi ý: " &amp; "Phân tích tác động của việc thêm một giá trị ngoại lai (outlier) đối với số trung bình (Mean) và trung vị (Median)."))</f>
        <v/>
      </c>
      <c r="P92" s="5">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Q92" s="5">
        <f>IF(OR(H92="✅ Đúng", J92="✅ Đúng", L92="✅ Đúng"), "Adding a high value increases Mean; Median position remains in the same frequency bin.", "🔒 Trả lời đúng để mở khóa Strategic Tip!")</f>
        <v/>
      </c>
    </row>
    <row r="93" ht="15.75" customHeight="1" s="19">
      <c r="A93" s="7" t="inlineStr">
        <is>
          <t>M89</t>
        </is>
      </c>
      <c r="B93" s="7" t="inlineStr">
        <is>
          <t>Math Module 2</t>
        </is>
      </c>
      <c r="C93" s="5" t="inlineStr">
        <is>
          <t>Non-linear Systems (Circle &amp; Line)</t>
        </is>
      </c>
      <c r="D93" s="5" t="inlineStr">
        <is>
          <t>System of equations: x^2 + y^2 = 64 and y = mx + b/2. Intersect at (-7, y) with y &lt; 0.</t>
        </is>
      </c>
      <c r="E93" s="5" t="inlineStr">
        <is>
          <t>Calculator Allowed. Which expression represents the value of b?</t>
        </is>
      </c>
      <c r="F93" s="5" t="inlineStr">
        <is>
          <t>A. 14m - 2*sqrt(15)
B. -14m + 2*sqrt(15)
C. 7m/2 - sqrt(15)/2
D. -7m/2 + sqrt(15)/2</t>
        </is>
      </c>
      <c r="G93" s="14" t="n"/>
      <c r="H93" s="7">
        <f>IF(ISBLANK(G93), "⏳ Chờ đáp án", IF(UPPER(TRIM(G93))="A", "✅ Đúng", "❌ Sai"))</f>
        <v/>
      </c>
      <c r="I93" s="14" t="n"/>
      <c r="J93" s="7">
        <f>IF(ISBLANK(I93), "", IF(UPPER(TRIM(I93))="A", "✅ Đúng", "❌ Sai"))</f>
        <v/>
      </c>
      <c r="K93" s="14" t="n"/>
      <c r="L93" s="7">
        <f>IF(ISBLANK(K93), "", IF(UPPER(TRIM(K93))="A", "✅ Đúng", "❌ Sai"))</f>
        <v/>
      </c>
      <c r="M93" s="7">
        <f>COUNTIF(H93, "❌ Sai") + COUNTIF(J93, "❌ Sai") + COUNTIF(L93, "❌ Sai")</f>
        <v/>
      </c>
      <c r="N93" s="7">
        <f>IF(ISBLANK(G93), "⏳ Chờ làm", IF(H93="✅ Đúng", "✅ Đúng ngay L1", IF(J93="✅ Đúng", "✅ Đúng ở L2", IF(L93="✅ Đúng", "✅ Đúng ở L3", "❌ Chưa đúng sau 3 lần"))))</f>
        <v/>
      </c>
      <c r="O93" s="13">
        <f>IF(ISBLANK(F93), "💡 Nhập đáp án vào Lần thử 1", IF(G93="✅ Đúng", "✨ Xuất sắc! Bạn đã làm đúng.", "💡 Gợi ý: " &amp; "Thế phương trình đường thẳng vào phương trình đường tròn để giải tìm tọa độ giao điểm."))</f>
        <v/>
      </c>
      <c r="P93" s="5">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Q93" s="5">
        <f>IF(OR(H93="✅ Đúng", J93="✅ Đúng", L93="✅ Đúng"), "Substitute (-7, -sqrt(15)) into line equation =&gt; -sqrt(15) = -7m + b/2 =&gt; b = 14m - 2*sqrt(15).", "🔒 Trả lời đúng để mở khóa Strategic Tip!")</f>
        <v/>
      </c>
    </row>
    <row r="94" ht="15.75" customHeight="1" s="19">
      <c r="A94" s="7" t="inlineStr">
        <is>
          <t>M90</t>
        </is>
      </c>
      <c r="B94" s="7" t="inlineStr">
        <is>
          <t>Math Module 2</t>
        </is>
      </c>
      <c r="C94" s="5" t="inlineStr">
        <is>
          <t>Geometry (Similar Triangles)</t>
        </is>
      </c>
      <c r="D94" s="5" t="inlineStr">
        <is>
          <t>In triangle ABC, DE is parallel to AC, BD = AD, BE = 9, and AC = 8.</t>
        </is>
      </c>
      <c r="E94" s="5" t="inlineStr">
        <is>
          <t>Calculator Allowed. What is the length of BC?</t>
        </is>
      </c>
      <c r="F94" s="5" t="inlineStr">
        <is>
          <t>A. 18
B. 12
C. 17
D. 16</t>
        </is>
      </c>
      <c r="G94" s="14" t="n"/>
      <c r="H94" s="7">
        <f>IF(ISBLANK(G94), "⏳ Chờ đáp án", IF(UPPER(TRIM(G94))="B", "✅ Đúng", "❌ Sai"))</f>
        <v/>
      </c>
      <c r="I94" s="14" t="n"/>
      <c r="J94" s="7">
        <f>IF(ISBLANK(I94), "", IF(UPPER(TRIM(I94))="B", "✅ Đúng", "❌ Sai"))</f>
        <v/>
      </c>
      <c r="K94" s="14" t="n"/>
      <c r="L94" s="7">
        <f>IF(ISBLANK(K94), "", IF(UPPER(TRIM(K94))="B", "✅ Đúng", "❌ Sai"))</f>
        <v/>
      </c>
      <c r="M94" s="7">
        <f>COUNTIF(H94, "❌ Sai") + COUNTIF(J94, "❌ Sai") + COUNTIF(L94, "❌ Sai")</f>
        <v/>
      </c>
      <c r="N94" s="7">
        <f>IF(ISBLANK(G94), "⏳ Chờ làm", IF(H94="✅ Đúng", "✅ Đúng ngay L1", IF(J94="✅ Đúng", "✅ Đúng ở L2", IF(L94="✅ Đúng", "✅ Đúng ở L3", "❌ Chưa đúng sau 3 lần"))))</f>
        <v/>
      </c>
      <c r="O94" s="13">
        <f>IF(ISBLANK(F94), "💡 Nhập đáp án vào Lần thử 1", IF(G94="✅ Đúng", "✨ Xuất sắc! Bạn đã làm đúng.", "💡 Gợi ý: " &amp; "Sử dụng tính chất tam giác đồng dạng hoặc đường trung bình để tính độ dài đoạn thẳng tương ứng."))</f>
        <v/>
      </c>
      <c r="P94" s="5">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Q94" s="5">
        <f>IF(OR(H94="✅ Đúng", J94="✅ Đúng", L94="✅ Đúng"), "Midpoint Segment Theorem: BC = 2 * BE = 18.", "🔒 Trả lời đúng để mở khóa Strategic Tip!")</f>
        <v/>
      </c>
    </row>
    <row r="95" ht="15.75" customHeight="1" s="19">
      <c r="A95" s="7" t="inlineStr">
        <is>
          <t>M91</t>
        </is>
      </c>
      <c r="B95" s="7" t="inlineStr">
        <is>
          <t>Math Module 2</t>
        </is>
      </c>
      <c r="C95" s="5" t="inlineStr">
        <is>
          <t>Systems of Equations Evaluation</t>
        </is>
      </c>
      <c r="D95" s="5" t="inlineStr">
        <is>
          <t>System of equations: 2x + 3y = 19 and 2x - y = 3.</t>
        </is>
      </c>
      <c r="E95" s="5" t="inlineStr">
        <is>
          <t>Calculator Allowed. What is the value of x + y?</t>
        </is>
      </c>
      <c r="F95" s="5" t="inlineStr">
        <is>
          <t>A. 5
B. 7
C. 8
D. 9</t>
        </is>
      </c>
      <c r="G95" s="14" t="n"/>
      <c r="H95" s="7">
        <f>IF(ISBLANK(G95), "⏳ Chờ đáp án", IF(UPPER(TRIM(G95))="B", "✅ Đúng", "❌ Sai"))</f>
        <v/>
      </c>
      <c r="I95" s="14" t="n"/>
      <c r="J95" s="7">
        <f>IF(ISBLANK(I95), "", IF(UPPER(TRIM(I95))="B", "✅ Đúng", "❌ Sai"))</f>
        <v/>
      </c>
      <c r="K95" s="14" t="n"/>
      <c r="L95" s="7">
        <f>IF(ISBLANK(K95), "", IF(UPPER(TRIM(K95))="B", "✅ Đúng", "❌ Sai"))</f>
        <v/>
      </c>
      <c r="M95" s="7">
        <f>COUNTIF(H95, "❌ Sai") + COUNTIF(J95, "❌ Sai") + COUNTIF(L95, "❌ Sai")</f>
        <v/>
      </c>
      <c r="N95" s="7">
        <f>IF(ISBLANK(G95), "⏳ Chờ làm", IF(H95="✅ Đúng", "✅ Đúng ngay L1", IF(J95="✅ Đúng", "✅ Đúng ở L2", IF(L95="✅ Đúng", "✅ Đúng ở L3", "❌ Chưa đúng sau 3 lần"))))</f>
        <v/>
      </c>
      <c r="O95" s="13">
        <f>IF(ISBLANK(F95), "💡 Nhập đáp án vào Lần thử 1", IF(G95="✅ Đúng", "✨ Xuất sắc! Bạn đã làm đúng.", "💡 Gợi ý: " &amp; "Trừ hoặc cộng hai phương trình theo vế để tìm giá trị x, y rồi tính biểu thức cần tìm."))</f>
        <v/>
      </c>
      <c r="P95" s="5">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Q95" s="5">
        <f>IF(OR(H95="✅ Đúng", J95="✅ Đúng", L95="✅ Đúng"), "Solve system: y = 4, x = 3 =&gt; x + y = 7.", "🔒 Trả lời đúng để mở khóa Strategic Tip!")</f>
        <v/>
      </c>
    </row>
    <row r="96" ht="15.75" customHeight="1" s="19">
      <c r="A96" s="7" t="inlineStr">
        <is>
          <t>M92</t>
        </is>
      </c>
      <c r="B96" s="7" t="inlineStr">
        <is>
          <t>Math Module 2</t>
        </is>
      </c>
      <c r="C96" s="5" t="inlineStr">
        <is>
          <t>Statistics (Sampling Bias)</t>
        </is>
      </c>
      <c r="D96" s="5" t="inlineStr">
        <is>
          <t>A study on melatonin levels sampled 125 gamers from 3 countries (Sweden 25, South Korea 49, US 51).</t>
        </is>
      </c>
      <c r="E96" s="5" t="inlineStr">
        <is>
          <t>Calculator Allowed. Which aspect prevents the results from being generalized to ALL gamers globally?</t>
        </is>
      </c>
      <c r="F96" s="5" t="inlineStr">
        <is>
          <t>A. The gamers were not selected at random from all gamers worldwide.
B. The number of gamers is too small.
C. The number of gamers from each country is different.
D. Melatonin was not measured over a long enough period.</t>
        </is>
      </c>
      <c r="G96" s="14" t="n"/>
      <c r="H96" s="7">
        <f>IF(ISBLANK(G96), "⏳ Chờ đáp án", IF(UPPER(TRIM(G96))="A", "✅ Đúng", "❌ Sai"))</f>
        <v/>
      </c>
      <c r="I96" s="14" t="n"/>
      <c r="J96" s="7">
        <f>IF(ISBLANK(I96), "", IF(UPPER(TRIM(I96))="A", "✅ Đúng", "❌ Sai"))</f>
        <v/>
      </c>
      <c r="K96" s="14" t="n"/>
      <c r="L96" s="7">
        <f>IF(ISBLANK(K96), "", IF(UPPER(TRIM(K96))="A", "✅ Đúng", "❌ Sai"))</f>
        <v/>
      </c>
      <c r="M96" s="7">
        <f>COUNTIF(H96, "❌ Sai") + COUNTIF(J96, "❌ Sai") + COUNTIF(L96, "❌ Sai")</f>
        <v/>
      </c>
      <c r="N96" s="7">
        <f>IF(ISBLANK(G96), "⏳ Chờ làm", IF(H96="✅ Đúng", "✅ Đúng ngay L1", IF(J96="✅ Đúng", "✅ Đúng ở L2", IF(L96="✅ Đúng", "✅ Đúng ở L3", "❌ Chưa đúng sau 3 lần"))))</f>
        <v/>
      </c>
      <c r="O96" s="13">
        <f>IF(ISBLANK(F96), "💡 Nhập đáp án vào Lần thử 1", IF(G96="✅ Đúng", "✨ Xuất sắc! Bạn đã làm đúng.", "💡 Gợi ý: " &amp; "Đánh giá tính đại diện của mẫu khảo sát; mẫu không ngẫu nhiên hoặc bị giới hạn phạm vi sẽ gây ra sai số chọn mẫu."))</f>
        <v/>
      </c>
      <c r="P96" s="5">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Q96" s="5">
        <f>IF(OR(H96="✅ Đúng", J96="✅ Đúng", L96="✅ Đúng"), "Generalizability requires random sampling from the target population.", "🔒 Trả lời đúng để mở khóa Strategic Tip!")</f>
        <v/>
      </c>
    </row>
    <row r="97" ht="15.75" customHeight="1" s="19">
      <c r="A97" s="7" t="inlineStr">
        <is>
          <t>M93</t>
        </is>
      </c>
      <c r="B97" s="7" t="inlineStr">
        <is>
          <t>Math Module 2</t>
        </is>
      </c>
      <c r="C97" s="5" t="inlineStr">
        <is>
          <t>Trigonometry (Right Triangle Ratios)</t>
        </is>
      </c>
      <c r="D97" s="5" t="inlineStr">
        <is>
          <t>In right triangle ABC with right angle C = 90 deg, cos A = 5/13.</t>
        </is>
      </c>
      <c r="E97" s="5" t="inlineStr">
        <is>
          <t>Calculator Allowed. What is the value of tan A?</t>
        </is>
      </c>
      <c r="F97" s="5" t="inlineStr">
        <is>
          <t>A. 5/12
B. 12/5
C. 13/5
D. 12/13</t>
        </is>
      </c>
      <c r="G97" s="14" t="n"/>
      <c r="H97" s="7">
        <f>IF(ISBLANK(G97), "⏳ Chờ đáp án", IF(UPPER(TRIM(G97))="B", "✅ Đúng", "❌ Sai"))</f>
        <v/>
      </c>
      <c r="I97" s="14" t="n"/>
      <c r="J97" s="7">
        <f>IF(ISBLANK(I97), "", IF(UPPER(TRIM(I97))="B", "✅ Đúng", "❌ Sai"))</f>
        <v/>
      </c>
      <c r="K97" s="14" t="n"/>
      <c r="L97" s="7">
        <f>IF(ISBLANK(K97), "", IF(UPPER(TRIM(K97))="B", "✅ Đúng", "❌ Sai"))</f>
        <v/>
      </c>
      <c r="M97" s="7">
        <f>COUNTIF(H97, "❌ Sai") + COUNTIF(J97, "❌ Sai") + COUNTIF(L97, "❌ Sai")</f>
        <v/>
      </c>
      <c r="N97" s="7">
        <f>IF(ISBLANK(G97), "⏳ Chờ làm", IF(H97="✅ Đúng", "✅ Đúng ngay L1", IF(J97="✅ Đúng", "✅ Đúng ở L2", IF(L97="✅ Đúng", "✅ Đúng ở L3", "❌ Chưa đúng sau 3 lần"))))</f>
        <v/>
      </c>
      <c r="O97" s="13">
        <f>IF(ISBLANK(F97), "💡 Nhập đáp án vào Lần thử 1", IF(G97="✅ Đúng", "✨ Xuất sắc! Bạn đã làm đúng.", "💡 Gợi ý: " &amp; "Sử dụng bộ ba số Pitago và các tỉ số lượng giác cơ bản (sin, cos, tan) trong tam giác vuông."))</f>
        <v/>
      </c>
      <c r="P97" s="5">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c>
      <c r="Q97" s="5">
        <f>IF(OR(H97="✅ Đúng", J97="✅ Đúng", L97="✅ Đúng"), "5-12-13 Right Triangle: cos A = 5/13 =&gt; sin A = 12/13 =&gt; tan A = 12/5.", "🔒 Trả lời đúng để mở khóa Strategic Tip!")</f>
        <v/>
      </c>
    </row>
    <row r="98" ht="15.75" customHeight="1" s="19">
      <c r="A98" s="7" t="inlineStr">
        <is>
          <t>M94</t>
        </is>
      </c>
      <c r="B98" s="7" t="inlineStr">
        <is>
          <t>Math Module 2</t>
        </is>
      </c>
      <c r="C98" s="5" t="inlineStr">
        <is>
          <t>Percentages (Percent Increase)</t>
        </is>
      </c>
      <c r="D98" s="5" t="inlineStr">
        <is>
          <t>Guests used the pool for t hours in March and 3.41t hours in April.</t>
        </is>
      </c>
      <c r="E98" s="5" t="inlineStr">
        <is>
          <t>Calculator Allowed. What is the percent increase in pool usage from March to April?</t>
        </is>
      </c>
      <c r="F98" s="5" t="inlineStr">
        <is>
          <t>A. 2.41%
B. 3.41%
C. 241%
D. 341%</t>
        </is>
      </c>
      <c r="G98" s="14" t="n"/>
      <c r="H98" s="7">
        <f>IF(ISBLANK(G98), "⏳ Chờ đáp án", IF(UPPER(TRIM(G98))="C", "✅ Đúng", "❌ Sai"))</f>
        <v/>
      </c>
      <c r="I98" s="14" t="n"/>
      <c r="J98" s="7">
        <f>IF(ISBLANK(I98), "", IF(UPPER(TRIM(I98))="C", "✅ Đúng", "❌ Sai"))</f>
        <v/>
      </c>
      <c r="K98" s="14" t="n"/>
      <c r="L98" s="7">
        <f>IF(ISBLANK(K98), "", IF(UPPER(TRIM(K98))="C", "✅ Đúng", "❌ Sai"))</f>
        <v/>
      </c>
      <c r="M98" s="7">
        <f>COUNTIF(H98, "❌ Sai") + COUNTIF(J98, "❌ Sai") + COUNTIF(L98, "❌ Sai")</f>
        <v/>
      </c>
      <c r="N98" s="7">
        <f>IF(ISBLANK(G98), "⏳ Chờ làm", IF(H98="✅ Đúng", "✅ Đúng ngay L1", IF(J98="✅ Đúng", "✅ Đúng ở L2", IF(L98="✅ Đúng", "✅ Đúng ở L3", "❌ Chưa đúng sau 3 lần"))))</f>
        <v/>
      </c>
      <c r="O98" s="13">
        <f>IF(ISBLANK(F98), "💡 Nhập đáp án vào Lần thử 1", IF(G98="✅ Đúng", "✨ Xuất sắc! Bạn đã làm đúng.", "💡 Gợi ý: " &amp; "Sử dụng công thức tính tỉ lệ phần trăm tăng: Percent Increase = (Giá trị mới - Giá trị cũ) / Giá trị cũ * 100%."))</f>
        <v/>
      </c>
      <c r="P98" s="5">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c>
      <c r="Q98" s="5">
        <f>IF(OR(H98="✅ Đúng", J98="✅ Đúng", L98="✅ Đúng"), "Percent Increase = (3.41 - 1) * 100% = 241%.", "🔒 Trả lời đúng để mở khóa Strategic Tip!")</f>
        <v/>
      </c>
    </row>
    <row r="99" ht="15.75" customHeight="1" s="19">
      <c r="A99" s="7" t="inlineStr">
        <is>
          <t>M95</t>
        </is>
      </c>
      <c r="B99" s="7" t="inlineStr">
        <is>
          <t>Math Module 2</t>
        </is>
      </c>
      <c r="C99" s="5" t="inlineStr">
        <is>
          <t>Algebraic Expansion &amp; Coefficients</t>
        </is>
      </c>
      <c r="D99" s="5" t="inlineStr">
        <is>
          <t>The expression [4(3x - 4)^2 + 6(3x - 2)^2] / 4 can be rewritten as (a/4)x^2 + (b/4)x + (c/4).</t>
        </is>
      </c>
      <c r="E99" s="5" t="inlineStr">
        <is>
          <t>Calculator Allowed. What is the value of a + b + c?</t>
        </is>
      </c>
      <c r="F99" s="5" t="inlineStr">
        <is>
          <t>A. -32
B. -16
C. -8
D. 24</t>
        </is>
      </c>
      <c r="G99" s="14" t="n"/>
      <c r="H99" s="7">
        <f>IF(ISBLANK(G99), "⏳ Chờ đáp án", IF(UPPER(TRIM(G99))="A", "✅ Đúng", "❌ Sai"))</f>
        <v/>
      </c>
      <c r="I99" s="14" t="n"/>
      <c r="J99" s="7">
        <f>IF(ISBLANK(I99), "", IF(UPPER(TRIM(I99))="A", "✅ Đúng", "❌ Sai"))</f>
        <v/>
      </c>
      <c r="K99" s="14" t="n"/>
      <c r="L99" s="7">
        <f>IF(ISBLANK(K99), "", IF(UPPER(TRIM(K99))="A", "✅ Đúng", "❌ Sai"))</f>
        <v/>
      </c>
      <c r="M99" s="7">
        <f>COUNTIF(H99, "❌ Sai") + COUNTIF(J99, "❌ Sai") + COUNTIF(L99, "❌ Sai")</f>
        <v/>
      </c>
      <c r="N99" s="7">
        <f>IF(ISBLANK(G99), "⏳ Chờ làm", IF(H99="✅ Đúng", "✅ Đúng ngay L1", IF(J99="✅ Đúng", "✅ Đúng ở L2", IF(L99="✅ Đúng", "✅ Đúng ở L3", "❌ Chưa đúng sau 3 lần"))))</f>
        <v/>
      </c>
      <c r="O99" s="13">
        <f>IF(ISBLANK(F99), "💡 Nhập đáp án vào Lần thử 1", IF(G99="✅ Đúng", "✨ Xuất sắc! Bạn đã làm đúng.", "💡 Gợi ý: " &amp; "Khai triển và thu gọn biểu thức đại số, sau đó đồng nhất các hệ số tương ứng."))</f>
        <v/>
      </c>
      <c r="P99" s="5">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c>
      <c r="Q99" s="5">
        <f>IF(OR(H99="✅ Đúng", J99="✅ Đúng", L99="✅ Đúng"), "Evaluate at x = 1 to find sum of coefficients a + b + c.", "🔒 Trả lời đúng để mở khóa Strategic Tip!")</f>
        <v/>
      </c>
    </row>
    <row r="100" ht="15.75" customHeight="1" s="19">
      <c r="A100" s="7" t="inlineStr">
        <is>
          <t>M96</t>
        </is>
      </c>
      <c r="B100" s="7" t="inlineStr">
        <is>
          <t>Math Module 2</t>
        </is>
      </c>
      <c r="C100" s="5" t="inlineStr">
        <is>
          <t>Consecutive Integers Inequality</t>
        </is>
      </c>
      <c r="D100" s="5" t="inlineStr">
        <is>
          <t>The sum of three consecutive even integers is less than 123. The least integer is x.</t>
        </is>
      </c>
      <c r="E100" s="5" t="inlineStr">
        <is>
          <t>Calculator Allowed. What is the greatest possible value of x?</t>
        </is>
      </c>
      <c r="F100" s="5" t="inlineStr">
        <is>
          <t>A. 41
B. 40
C. 39
D. 38</t>
        </is>
      </c>
      <c r="G100" s="14" t="n"/>
      <c r="H100" s="7">
        <f>IF(ISBLANK(G100), "⏳ Chờ đáp án", IF(UPPER(TRIM(G100))="D", "✅ Đúng", "❌ Sai"))</f>
        <v/>
      </c>
      <c r="I100" s="14" t="n"/>
      <c r="J100" s="7">
        <f>IF(ISBLANK(I100), "", IF(UPPER(TRIM(I100))="D", "✅ Đúng", "❌ Sai"))</f>
        <v/>
      </c>
      <c r="K100" s="14" t="n"/>
      <c r="L100" s="7">
        <f>IF(ISBLANK(K100), "", IF(UPPER(TRIM(K100))="D", "✅ Đúng", "❌ Sai"))</f>
        <v/>
      </c>
      <c r="M100" s="7">
        <f>COUNTIF(H100, "❌ Sai") + COUNTIF(J100, "❌ Sai") + COUNTIF(L100, "❌ Sai")</f>
        <v/>
      </c>
      <c r="N100" s="7">
        <f>IF(ISBLANK(G100), "⏳ Chờ làm", IF(H100="✅ Đúng", "✅ Đúng ngay L1", IF(J100="✅ Đúng", "✅ Đúng ở L2", IF(L100="✅ Đúng", "✅ Đúng ở L3", "❌ Chưa đúng sau 3 lần"))))</f>
        <v/>
      </c>
      <c r="O100" s="13">
        <f>IF(ISBLANK(F100), "💡 Nhập đáp án vào Lần thử 1", IF(G100="✅ Đúng", "✨ Xuất sắc! Bạn đã làm đúng.", "💡 Gợi ý: " &amp; "Lập bất phương trình cho tổng các số nguyên liên tiếp và giải tìm giá trị số nguyên thỏa mãn."))</f>
        <v/>
      </c>
      <c r="P100" s="5">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Q100" s="5">
        <f>IF(OR(H100="✅ Đúng", J100="✅ Đúng", L100="✅ Đúng"), "3x + 6 &lt; 123 =&gt; x &lt; 39. Greatest even integer is 38.", "🔒 Trả lời đúng để mở khóa Strategic Tip!")</f>
        <v/>
      </c>
    </row>
    <row r="101" ht="15.75" customHeight="1" s="19">
      <c r="A101" s="7" t="inlineStr">
        <is>
          <t>M97</t>
        </is>
      </c>
      <c r="B101" s="7" t="inlineStr">
        <is>
          <t>Math Module 2</t>
        </is>
      </c>
      <c r="C101" s="5" t="inlineStr">
        <is>
          <t>Similar 3D Solids (Area &amp; Volume Ratios)</t>
        </is>
      </c>
      <c r="D101" s="5" t="inlineStr">
        <is>
          <t>Prism X is similar to Prism Y. Surface area X = 52 cm^2, Surface area Y = 832 cm^2. Volume X = 10.5 cm^3.</t>
        </is>
      </c>
      <c r="E101" s="5" t="inlineStr">
        <is>
          <t>Calculator Allowed. What is the volume, in cm^3, of right rectangular prism Y?</t>
        </is>
      </c>
      <c r="F101" s="5" t="inlineStr">
        <is>
          <t>Student-Produced Response (Grid-in). Enter the exact number.</t>
        </is>
      </c>
      <c r="G101" s="14" t="n"/>
      <c r="H101" s="7">
        <f>IF(ISBLANK(G101), "⏳ Chờ đáp án", IF(UPPER(TRIM(G101))="672", "✅ Đúng", "❌ Sai"))</f>
        <v/>
      </c>
      <c r="I101" s="14" t="n"/>
      <c r="J101" s="7">
        <f>IF(ISBLANK(I101), "", IF(UPPER(TRIM(I101))="672", "✅ Đúng", "❌ Sai"))</f>
        <v/>
      </c>
      <c r="K101" s="14" t="n"/>
      <c r="L101" s="7">
        <f>IF(ISBLANK(K101), "", IF(UPPER(TRIM(K101))="672", "✅ Đúng", "❌ Sai"))</f>
        <v/>
      </c>
      <c r="M101" s="7">
        <f>COUNTIF(H101, "❌ Sai") + COUNTIF(J101, "❌ Sai") + COUNTIF(L101, "❌ Sai")</f>
        <v/>
      </c>
      <c r="N101" s="7">
        <f>IF(ISBLANK(G101), "⏳ Chờ làm", IF(H101="✅ Đúng", "✅ Đúng ngay L1", IF(J101="✅ Đúng", "✅ Đúng ở L2", IF(L101="✅ Đúng", "✅ Đúng ở L3", "❌ Chưa đúng sau 3 lần"))))</f>
        <v/>
      </c>
      <c r="O101" s="13">
        <f>IF(ISBLANK(F101), "💡 Nhập đáp án vào Lần thử 1", IF(G101="✅ Đúng", "✨ Xuất sắc! Bạn đã làm đúng.", "💡 Gợi ý: " &amp; "Nếu hai hình đồng dạng có tỉ lệ chiều dài là k, thì tỉ lệ diện tích là k^2 và tỉ lệ thể tích là k^3."))</f>
        <v/>
      </c>
      <c r="P101" s="5">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Q101" s="5">
        <f>IF(OR(H101="✅ Đúng", J101="✅ Đúng", L101="✅ Đúng"), "Area ratio k^2 = 16 =&gt; k = 4 =&gt; Volume ratio k^3 = 64 =&gt; Vol Y = 10.5 * 64 = 672.", "🔒 Trả lời đúng để mở khóa Strategic Tip!")</f>
        <v/>
      </c>
    </row>
    <row r="102" ht="15.75" customHeight="1" s="19">
      <c r="A102" s="7" t="inlineStr">
        <is>
          <t>M98</t>
        </is>
      </c>
      <c r="B102" s="7" t="inlineStr">
        <is>
          <t>Math Module 2</t>
        </is>
      </c>
      <c r="C102" s="5" t="inlineStr">
        <is>
          <t>Quadratic Equation (Sum of Roots)</t>
        </is>
      </c>
      <c r="D102" s="5" t="inlineStr">
        <is>
          <t>Equation: 18(w - a)(w + 5) = 6(w + 5). The sum of solutions is 37/3.</t>
        </is>
      </c>
      <c r="E102" s="5" t="inlineStr">
        <is>
          <t>Calculator Allowed. What is the value of a?</t>
        </is>
      </c>
      <c r="F102" s="5" t="inlineStr">
        <is>
          <t>Student-Produced Response (Grid-in). Enter the exact integer or fraction.</t>
        </is>
      </c>
      <c r="G102" s="14" t="n"/>
      <c r="H102" s="7">
        <f>IF(ISBLANK(G102), "⏳ Chờ đáp án", IF(UPPER(TRIM(G102))="362", "✅ Đúng", "❌ Sai"))</f>
        <v/>
      </c>
      <c r="I102" s="14" t="n"/>
      <c r="J102" s="7">
        <f>IF(ISBLANK(I102), "", IF(UPPER(TRIM(I102))="362", "✅ Đúng", "❌ Sai"))</f>
        <v/>
      </c>
      <c r="K102" s="14" t="n"/>
      <c r="L102" s="7">
        <f>IF(ISBLANK(K102), "", IF(UPPER(TRIM(K102))="362", "✅ Đúng", "❌ Sai"))</f>
        <v/>
      </c>
      <c r="M102" s="7">
        <f>COUNTIF(H102, "❌ Sai") + COUNTIF(J102, "❌ Sai") + COUNTIF(L102, "❌ Sai")</f>
        <v/>
      </c>
      <c r="N102" s="7">
        <f>IF(ISBLANK(G102), "⏳ Chờ làm", IF(H102="✅ Đúng", "✅ Đúng ngay L1", IF(J102="✅ Đúng", "✅ Đúng ở L2", IF(L102="✅ Đúng", "✅ Đúng ở L3", "❌ Chưa đúng sau 3 lần"))))</f>
        <v/>
      </c>
      <c r="O102" s="13">
        <f>IF(ISBLANK(F102), "💡 Nhập đáp án vào Lần thử 1", IF(G102="✅ Đúng", "✨ Xuất sắc! Bạn đã làm đúng.", "💡 Gợi ý: " &amp; "Sử dụng định lý Viète về tổng các nghiệm x1 + x2 = -b/a hoặc biến đổi phương trình về dạng tích."))</f>
        <v/>
      </c>
      <c r="P102" s="5">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c>
      <c r="Q102" s="5">
        <f>IF(OR(H102="✅ Đúng", J102="✅ Đúng", L102="✅ Đúng"), "Roots are w1 = -5 and w2 = a + 1/3 =&gt; -5 + a + 1/3 = 37/3 =&gt; a = 17.", "🔒 Trả lời đúng để mở khóa Strategic Tip!")</f>
        <v/>
      </c>
    </row>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2026-10-26T07:34:27Z</dcterms:created>
  <dcterms:modified xmlns:dcterms="http://purl.org/dc/terms/" xmlns:xsi="http://www.w3.org/2001/XMLSchema-instance" xsi:type="dcterms:W3CDTF">2026-10-27T01:20:57Z</dcterms:modified>
</cp:coreProperties>
</file>