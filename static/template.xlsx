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Overview_Strategies" sheetId="1" state="visible" r:id="rId1"/>
    <sheet xmlns:r="http://schemas.openxmlformats.org/officeDocument/2006/relationships" name="Performance_Summary" sheetId="2" state="visible" r:id="rId2"/>
    <sheet xmlns:r="http://schemas.openxmlformats.org/officeDocument/2006/relationships" name="SAT_Error_Log_Tracker" sheetId="3" state="visible" r:id="rId3"/>
    <sheet xmlns:r="http://schemas.openxmlformats.org/officeDocument/2006/relationships" name="RW_Module1" sheetId="4" state="visible" r:id="rId4"/>
    <sheet xmlns:r="http://schemas.openxmlformats.org/officeDocument/2006/relationships" name="RW_Module2" sheetId="5" state="visible" r:id="rId5"/>
    <sheet xmlns:r="http://schemas.openxmlformats.org/officeDocument/2006/relationships" name="Math_Module1" sheetId="6" state="visible" r:id="rId6"/>
    <sheet xmlns:r="http://schemas.openxmlformats.org/officeDocument/2006/relationships" name="Math_Module2" sheetId="7" state="visible" r:id="rId7"/>
    <sheet xmlns:r="http://schemas.openxmlformats.org/officeDocument/2006/relationships" name="Master_All_98_Questions"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14">
    <font>
      <name val="Calibri"/>
      <color theme="1"/>
      <sz val="11"/>
      <scheme val="minor"/>
    </font>
    <font>
      <name val="Calibri"/>
      <b val="1"/>
      <color rgb="FF1F4E78"/>
      <sz val="14"/>
    </font>
    <font>
      <name val="Calibri"/>
      <i val="1"/>
      <color rgb="FF595959"/>
      <sz val="11"/>
    </font>
    <font>
      <name val="Calibri"/>
      <b val="1"/>
      <color rgb="FFFFFFFF"/>
      <sz val="11"/>
    </font>
    <font>
      <name val="Calibri"/>
      <b val="1"/>
      <color rgb="FFFFFFFF"/>
      <sz val="10"/>
    </font>
    <font>
      <name val="Calibri"/>
      <color theme="1"/>
      <sz val="11"/>
    </font>
    <font>
      <name val="Calibri"/>
      <b val="1"/>
      <color theme="1"/>
      <sz val="12"/>
    </font>
    <font>
      <name val="Calibri"/>
      <b val="1"/>
      <color theme="1"/>
      <sz val="11"/>
    </font>
    <font>
      <name val="Segoe UI"/>
      <b val="1"/>
      <color rgb="00FFFFFF"/>
      <sz val="14"/>
    </font>
    <font>
      <name val="Segoe UI"/>
      <b val="1"/>
      <color rgb="001E293B"/>
      <sz val="11"/>
    </font>
    <font>
      <name val="Segoe UI"/>
      <color rgb="00334155"/>
      <sz val="11"/>
    </font>
    <font>
      <name val="Segoe UI"/>
      <b val="1"/>
      <color rgb="000369A1"/>
      <sz val="12"/>
    </font>
    <font>
      <name val="Segoe UI"/>
      <color rgb="000F172A"/>
      <sz val="11"/>
    </font>
    <font>
      <name val="Segoe UI"/>
      <b val="1"/>
      <color rgb="00FFFFFF"/>
      <sz val="11"/>
    </font>
  </fonts>
  <fills count="11">
    <fill>
      <patternFill/>
    </fill>
    <fill>
      <patternFill patternType="lightGray"/>
    </fill>
    <fill>
      <patternFill patternType="solid">
        <fgColor rgb="FF2F5496"/>
        <bgColor rgb="FF2F5496"/>
      </patternFill>
    </fill>
    <fill>
      <patternFill patternType="solid">
        <fgColor rgb="FF4472C4"/>
        <bgColor rgb="FF4472C4"/>
      </patternFill>
    </fill>
    <fill>
      <patternFill patternType="solid">
        <fgColor rgb="FFFCE4D6"/>
        <bgColor rgb="FFFCE4D6"/>
      </patternFill>
    </fill>
    <fill>
      <patternFill patternType="solid">
        <fgColor rgb="FFDCE6F1"/>
        <bgColor rgb="FFDCE6F1"/>
      </patternFill>
    </fill>
    <fill>
      <patternFill patternType="solid">
        <fgColor rgb="FFFFF2CC"/>
        <bgColor rgb="FFFFF2CC"/>
      </patternFill>
    </fill>
    <fill>
      <patternFill patternType="solid">
        <fgColor rgb="FFE2EFDA"/>
        <bgColor rgb="FFE2EFDA"/>
      </patternFill>
    </fill>
    <fill>
      <patternFill patternType="solid">
        <fgColor rgb="000F172A"/>
        <bgColor rgb="000F172A"/>
      </patternFill>
    </fill>
    <fill>
      <patternFill patternType="solid">
        <fgColor rgb="00E0F2FE"/>
        <bgColor rgb="00E0F2FE"/>
      </patternFill>
    </fill>
    <fill>
      <patternFill patternType="solid">
        <fgColor rgb="000284C7"/>
        <bgColor rgb="000284C7"/>
      </patternFill>
    </fill>
  </fills>
  <borders count="4">
    <border/>
    <border>
      <left style="thin">
        <color rgb="FF1F4E78"/>
      </left>
      <right style="thin">
        <color rgb="FF1F4E78"/>
      </right>
      <top style="medium">
        <color rgb="FF1F4E78"/>
      </top>
      <bottom style="medium">
        <color rgb="FF1F4E78"/>
      </bottom>
    </border>
    <border>
      <left/>
      <right/>
      <top/>
      <bottom/>
    </border>
    <border>
      <left style="thin">
        <color rgb="FFD9D9D9"/>
      </left>
      <right style="thin">
        <color rgb="FFD9D9D9"/>
      </right>
      <top style="thin">
        <color rgb="FFD9D9D9"/>
      </top>
      <bottom style="thin">
        <color rgb="FFD9D9D9"/>
      </bottom>
    </border>
  </borders>
  <cellStyleXfs count="1">
    <xf numFmtId="0" fontId="0" fillId="0" borderId="0"/>
  </cellStyleXfs>
  <cellXfs count="36">
    <xf numFmtId="0" fontId="0" fillId="0" borderId="0" applyAlignment="1" pivotButton="0" quotePrefix="0" xfId="0">
      <alignment vertical="bottom"/>
    </xf>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3" borderId="2" applyAlignment="1" pivotButton="0" quotePrefix="0" xfId="0">
      <alignment horizontal="center" vertical="center" wrapText="1"/>
    </xf>
    <xf numFmtId="0" fontId="5" fillId="0" borderId="3" applyAlignment="1" pivotButton="0" quotePrefix="0" xfId="0">
      <alignment horizontal="left" vertical="center" wrapText="1"/>
    </xf>
    <xf numFmtId="0" fontId="6" fillId="0" borderId="3" applyAlignment="1" pivotButton="0" quotePrefix="0" xfId="0">
      <alignment horizontal="center" vertical="center" wrapText="1"/>
    </xf>
    <xf numFmtId="0" fontId="5" fillId="0" borderId="3" applyAlignment="1" pivotButton="0" quotePrefix="0" xfId="0">
      <alignment horizontal="center" vertical="center" wrapText="1"/>
    </xf>
    <xf numFmtId="0" fontId="7" fillId="4" borderId="2" applyAlignment="1" pivotButton="0" quotePrefix="0" xfId="0">
      <alignment horizontal="center" vertical="center" wrapText="1"/>
    </xf>
    <xf numFmtId="0" fontId="7" fillId="6" borderId="2" applyAlignment="1" pivotButton="0" quotePrefix="0" xfId="0">
      <alignment horizontal="center" vertical="center" wrapText="1"/>
    </xf>
    <xf numFmtId="0" fontId="7" fillId="5" borderId="3" applyAlignment="1" pivotButton="0" quotePrefix="0" xfId="0">
      <alignment horizontal="center" vertical="center" wrapText="1"/>
    </xf>
    <xf numFmtId="0" fontId="7" fillId="7" borderId="2" applyAlignment="1" pivotButton="0" quotePrefix="0" xfId="0">
      <alignment horizontal="center" vertical="center" wrapText="1"/>
    </xf>
    <xf numFmtId="0" fontId="5" fillId="0" borderId="3" applyAlignment="1" pivotButton="0" quotePrefix="0" xfId="0">
      <alignment horizontal="right" vertical="center"/>
    </xf>
    <xf numFmtId="164" fontId="5" fillId="0" borderId="3" applyAlignment="1" pivotButton="0" quotePrefix="0" xfId="0">
      <alignment horizontal="right" vertical="center"/>
    </xf>
    <xf numFmtId="0" fontId="7" fillId="5" borderId="3" applyAlignment="1" pivotButton="0" quotePrefix="0" xfId="0">
      <alignment horizontal="center" vertical="center" wrapText="1"/>
    </xf>
    <xf numFmtId="0" fontId="3" fillId="3"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right" vertical="center"/>
    </xf>
    <xf numFmtId="164" fontId="3" fillId="3" borderId="1" applyAlignment="1" pivotButton="0" quotePrefix="0" xfId="0">
      <alignment horizontal="right" vertical="center"/>
    </xf>
    <xf numFmtId="0" fontId="0" fillId="0" borderId="0" pivotButton="0" quotePrefix="0" xfId="0"/>
    <xf numFmtId="0" fontId="8" fillId="8" borderId="0" pivotButton="0" quotePrefix="0" xfId="0"/>
    <xf numFmtId="0" fontId="0" fillId="8" borderId="0" pivotButton="0" quotePrefix="0" xfId="0"/>
    <xf numFmtId="0" fontId="9" fillId="0" borderId="0" pivotButton="0" quotePrefix="0" xfId="0"/>
    <xf numFmtId="0" fontId="10" fillId="0" borderId="0" pivotButton="0" quotePrefix="0" xfId="0"/>
    <xf numFmtId="0" fontId="9"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3" fillId="0" borderId="1" applyAlignment="1" pivotButton="0" quotePrefix="0" xfId="0">
      <alignment horizontal="center" vertical="center" wrapText="1"/>
    </xf>
    <xf numFmtId="0" fontId="9" fillId="0" borderId="3" applyAlignment="1" pivotButton="0" quotePrefix="0" xfId="0">
      <alignment horizontal="left" vertical="center" wrapText="1"/>
    </xf>
    <xf numFmtId="0" fontId="10" fillId="0" borderId="3" applyAlignment="1" pivotButton="0" quotePrefix="0" xfId="0">
      <alignment horizontal="left" vertical="center" wrapText="1"/>
    </xf>
    <xf numFmtId="0" fontId="11" fillId="9" borderId="3" applyAlignment="1" pivotButton="0" quotePrefix="0" xfId="0">
      <alignment horizontal="left" vertical="center" wrapText="1"/>
    </xf>
    <xf numFmtId="0" fontId="5" fillId="9" borderId="3" applyAlignment="1" pivotButton="0" quotePrefix="0" xfId="0">
      <alignment horizontal="left" vertical="center" wrapText="1"/>
    </xf>
    <xf numFmtId="0" fontId="12" fillId="0" borderId="3" applyAlignment="1" pivotButton="0" quotePrefix="0" xfId="0">
      <alignment horizontal="left" vertical="center" wrapText="1"/>
    </xf>
    <xf numFmtId="0" fontId="12" fillId="0" borderId="0" pivotButton="0" quotePrefix="0" xfId="0"/>
    <xf numFmtId="0" fontId="13" fillId="10" borderId="0" applyAlignment="1" pivotButton="0" quotePrefix="0" xfId="0">
      <alignment horizontal="center" vertical="center"/>
    </xf>
    <xf numFmtId="0" fontId="4" fillId="0" borderId="2" applyAlignment="1" pivotButton="0" quotePrefix="0" xfId="0">
      <alignment horizontal="center" vertical="center" wrapText="1"/>
    </xf>
    <xf numFmtId="0" fontId="7" fillId="0" borderId="2" applyAlignment="1" pivotButton="0" quotePrefix="0" xfId="0">
      <alignment horizontal="center"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edudirectory.withgoogle.com/profiles/5087615831769088" TargetMode="External" Id="rId1"/></Relationships>
</file>

<file path=xl/worksheets/sheet1.xml><?xml version="1.0" encoding="utf-8"?>
<worksheet xmlns="http://schemas.openxmlformats.org/spreadsheetml/2006/main">
  <sheetPr>
    <outlinePr summaryBelow="1" summaryRight="1"/>
    <pageSetUpPr/>
  </sheetPr>
  <dimension ref="A1:D18"/>
  <sheetViews>
    <sheetView showGridLines="0" workbookViewId="0">
      <selection activeCell="A1" sqref="A1"/>
    </sheetView>
  </sheetViews>
  <sheetFormatPr baseColWidth="8" defaultColWidth="14.43" defaultRowHeight="15" customHeight="1"/>
  <cols>
    <col width="30" customWidth="1" style="19" min="1" max="1"/>
    <col width="50" customWidth="1" style="19" min="2" max="2"/>
    <col width="50" customWidth="1" style="19" min="3" max="3"/>
    <col width="45" customWidth="1" style="19" min="4" max="4"/>
    <col width="8.710000000000001" customWidth="1" style="19" min="5" max="26"/>
  </cols>
  <sheetData>
    <row r="1">
      <c r="A1" s="20" t="inlineStr">
        <is>
          <t>BÁO CÁO KẾT QUẢ DIGITAL SAT BLUEBOOK</t>
        </is>
      </c>
      <c r="B1" s="21" t="inlineStr"/>
    </row>
    <row r="2">
      <c r="A2" s="22" t="inlineStr">
        <is>
          <t>Đề thi</t>
        </is>
      </c>
      <c r="B2" s="23" t="inlineStr">
        <is>
          <t>Digital SAT Practice Test — October 2026 (INT-B)</t>
        </is>
      </c>
    </row>
    <row r="3">
      <c r="A3" s="22" t="inlineStr">
        <is>
          <t>Học sinh</t>
        </is>
      </c>
      <c r="B3" s="23" t="inlineStr">
        <is>
          <t>Học sinh</t>
        </is>
      </c>
    </row>
    <row r="4">
      <c r="A4" s="24" t="inlineStr">
        <is>
          <t>Email học sinh</t>
        </is>
      </c>
      <c r="B4" s="25" t="inlineStr">
        <is>
          <t>Chưa cung cấp</t>
        </is>
      </c>
      <c r="C4" s="26" t="n"/>
      <c r="D4" s="26" t="n"/>
    </row>
    <row r="5">
      <c r="A5" s="27" t="inlineStr">
        <is>
          <t>Mục tiêu điểm</t>
        </is>
      </c>
      <c r="B5" s="28" t="inlineStr">
        <is>
          <t>1400+</t>
        </is>
      </c>
      <c r="C5" s="5" t="n"/>
      <c r="D5" s="5" t="n"/>
    </row>
    <row r="6">
      <c r="A6" s="27" t="inlineStr">
        <is>
          <t>Thời gian nộp</t>
        </is>
      </c>
      <c r="B6" s="28" t="inlineStr">
        <is>
          <t>---</t>
        </is>
      </c>
      <c r="C6" s="5" t="n"/>
      <c r="D6" s="5" t="n"/>
    </row>
    <row r="7">
      <c r="A7" s="27" t="inlineStr">
        <is>
          <t>Giáo viên phụ trách</t>
        </is>
      </c>
      <c r="B7" s="28" t="inlineStr">
        <is>
          <t>Mike Pham Bá Hong Son (Google for Education Innovator: https://edudirectory.withgoogle.com/profiles/5087615831769088) - mikepham358@gmail.com</t>
        </is>
      </c>
      <c r="C7" s="5" t="n"/>
      <c r="D7" s="5" t="n"/>
    </row>
    <row r="8">
      <c r="A8" s="27" t="inlineStr">
        <is>
          <t>Nguồn tài liệu</t>
        </is>
      </c>
      <c r="B8" s="28" t="inlineStr">
        <is>
          <t>Tham khảo từ hocsat.com</t>
        </is>
      </c>
      <c r="C8" s="5" t="n"/>
      <c r="D8" s="5" t="n"/>
    </row>
    <row r="9">
      <c r="A9" s="5" t="n"/>
      <c r="B9" s="5" t="n"/>
      <c r="C9" s="5" t="n"/>
      <c r="D9" s="5" t="n"/>
    </row>
    <row r="10">
      <c r="A10" s="29" t="inlineStr">
        <is>
          <t>BẢNG TỔNG KẾT ĐIỂM SỐ</t>
        </is>
      </c>
      <c r="B10" s="30" t="inlineStr"/>
      <c r="C10" s="5" t="n"/>
      <c r="D10" s="5" t="n"/>
    </row>
    <row r="11">
      <c r="A11" s="27" t="inlineStr">
        <is>
          <t>Tổng số câu</t>
        </is>
      </c>
      <c r="B11" s="31">
        <f>Performance_Summary!D9</f>
        <v/>
      </c>
      <c r="C11" s="5" t="n"/>
      <c r="D11" s="5" t="n"/>
    </row>
    <row r="12">
      <c r="A12" s="22" t="inlineStr">
        <is>
          <t>Số câu đã làm</t>
        </is>
      </c>
      <c r="B12" s="32">
        <f>Performance_Summary!E9</f>
        <v/>
      </c>
    </row>
    <row r="13">
      <c r="A13" s="22" t="inlineStr">
        <is>
          <t>Số câu đúng Lần 1 (100%)</t>
        </is>
      </c>
      <c r="B13" s="32">
        <f>Performance_Summary!F9</f>
        <v/>
      </c>
    </row>
    <row r="14">
      <c r="A14" s="22" t="inlineStr">
        <is>
          <t>Số câu đúng Lần 2 (66.7%)</t>
        </is>
      </c>
      <c r="B14" s="32">
        <f>COUNTIF(RW_Module1!M5:M31, "✅ Đúng ở L2") + COUNTIF(RW_Module2!M5:M31, "✅ Đúng ở L2") + COUNTIF(Math_Module1!M5:M26, "✅ Đúng ở L2") + COUNTIF(Math_Module2!M5:M26, "✅ Đúng ở L2")</f>
        <v/>
      </c>
    </row>
    <row r="15">
      <c r="A15" s="22" t="inlineStr">
        <is>
          <t>Số câu đúng Lần 3 (33.3%)</t>
        </is>
      </c>
      <c r="B15" s="32">
        <f>COUNTIF(RW_Module1!M5:M31, "✅ Đúng ở L3") + COUNTIF(RW_Module2!M5:M31, "✅ Đúng ở L3") + COUNTIF(Math_Module1!M5:M26, "✅ Đúng ở L3") + COUNTIF(Math_Module2!M5:M26, "✅ Đúng ở L3")</f>
        <v/>
      </c>
    </row>
    <row r="16">
      <c r="A16" s="22" t="inlineStr">
        <is>
          <t>Hiệu suất điểm</t>
        </is>
      </c>
      <c r="B16" s="32">
        <f>Performance_Summary!K9</f>
        <v/>
      </c>
    </row>
    <row r="17">
      <c r="A17" s="22" t="inlineStr">
        <is>
          <t>Điểm ước tính</t>
        </is>
      </c>
      <c r="B17" s="32">
        <f>ROUND(400 + Performance_Summary!K9 * 1200, 0) &amp; " / 1600"</f>
        <v/>
      </c>
    </row>
    <row r="18">
      <c r="A18" s="22" t="inlineStr">
        <is>
          <t>Số lần thử sai ghi sổ</t>
        </is>
      </c>
      <c r="B18" s="32">
        <f>COUNTA(SAT_Error_Log_Tracker!A2:A100)</f>
        <v/>
      </c>
    </row>
    <row r="21" ht="15.75" customHeight="1" s="19"/>
    <row r="22" ht="15.75" customHeight="1" s="19"/>
    <row r="23" ht="15.75" customHeight="1" s="19"/>
    <row r="24" ht="15.75" customHeight="1" s="19"/>
    <row r="25" ht="15.75" customHeight="1" s="19"/>
    <row r="26" ht="15.75" customHeight="1" s="19"/>
    <row r="27" ht="15.75" customHeight="1" s="19"/>
    <row r="28" ht="15.75" customHeight="1" s="19"/>
    <row r="29" ht="15.75" customHeight="1" s="19"/>
    <row r="30" ht="15.75" customHeight="1" s="19"/>
    <row r="31" ht="15.75" customHeight="1" s="19"/>
    <row r="32" ht="15.75" customHeight="1" s="19"/>
    <row r="33" ht="15.75" customHeight="1" s="19"/>
    <row r="34" ht="15.75" customHeight="1" s="19"/>
    <row r="35" ht="15.75" customHeight="1" s="19"/>
    <row r="36" ht="15.75" customHeight="1" s="19"/>
    <row r="37" ht="15.75" customHeight="1" s="19"/>
    <row r="38" ht="15.75" customHeight="1" s="19"/>
    <row r="39" ht="15.75" customHeight="1" s="19"/>
    <row r="40" ht="15.75" customHeight="1" s="19"/>
    <row r="41" ht="15.75" customHeight="1" s="19"/>
    <row r="42" ht="15.75" customHeight="1" s="19"/>
    <row r="43" ht="15.75" customHeight="1" s="19"/>
    <row r="44" ht="15.75" customHeight="1" s="19"/>
    <row r="45" ht="15.75" customHeight="1" s="19"/>
    <row r="46" ht="15.75" customHeight="1" s="19"/>
    <row r="47" ht="15.75" customHeight="1" s="19"/>
    <row r="48" ht="15.75" customHeight="1" s="19"/>
    <row r="49" ht="15.75" customHeight="1" s="19"/>
    <row r="50" ht="15.75" customHeight="1" s="19"/>
    <row r="51" ht="15.75" customHeight="1" s="19"/>
    <row r="52" ht="15.75" customHeight="1" s="19"/>
    <row r="53" ht="15.75" customHeight="1" s="19"/>
    <row r="54" ht="15.75" customHeight="1" s="19"/>
    <row r="55" ht="15.75" customHeight="1" s="19"/>
    <row r="56" ht="15.75" customHeight="1" s="19"/>
    <row r="57" ht="15.75" customHeight="1" s="19"/>
    <row r="58" ht="15.75" customHeight="1" s="19"/>
    <row r="59" ht="15.75" customHeight="1" s="19"/>
    <row r="60" ht="15.75" customHeight="1" s="19"/>
    <row r="61" ht="15.75" customHeight="1" s="19"/>
    <row r="62" ht="15.75" customHeight="1" s="19"/>
    <row r="63" ht="15.75" customHeight="1" s="19"/>
    <row r="64" ht="15.75" customHeight="1" s="19"/>
    <row r="65" ht="15.75" customHeight="1" s="19"/>
    <row r="66" ht="15.75" customHeight="1" s="19"/>
    <row r="67" ht="15.75" customHeight="1" s="19"/>
    <row r="68" ht="15.75" customHeight="1" s="19"/>
    <row r="69" ht="15.75" customHeight="1" s="19"/>
    <row r="70" ht="15.75" customHeight="1" s="19"/>
    <row r="71" ht="15.75" customHeight="1" s="19"/>
    <row r="72" ht="15.75" customHeight="1" s="19"/>
    <row r="73" ht="15.75" customHeight="1" s="19"/>
    <row r="74" ht="15.75" customHeight="1" s="19"/>
    <row r="75" ht="15.75" customHeight="1" s="19"/>
    <row r="76" ht="15.75" customHeight="1" s="19"/>
    <row r="77" ht="15.75" customHeight="1" s="19"/>
    <row r="78" ht="15.75" customHeight="1" s="19"/>
    <row r="79" ht="15.75" customHeight="1" s="19"/>
    <row r="80" ht="15.75" customHeight="1" s="19"/>
    <row r="81" ht="15.75" customHeight="1" s="19"/>
    <row r="82" ht="15.75" customHeight="1" s="19"/>
    <row r="83" ht="15.75" customHeight="1" s="19"/>
    <row r="84" ht="15.75" customHeight="1" s="19"/>
    <row r="85" ht="15.75" customHeight="1" s="19"/>
    <row r="86" ht="15.75" customHeight="1" s="19"/>
    <row r="87" ht="15.75" customHeight="1" s="19"/>
    <row r="88" ht="15.75" customHeight="1" s="19"/>
    <row r="89" ht="15.75" customHeight="1" s="19"/>
    <row r="90" ht="15.75" customHeight="1" s="19"/>
    <row r="91" ht="15.75" customHeight="1" s="19"/>
    <row r="92" ht="15.75" customHeight="1" s="19"/>
    <row r="93" ht="15.75" customHeight="1" s="19"/>
    <row r="94" ht="15.75" customHeight="1" s="19"/>
    <row r="95" ht="15.75" customHeight="1" s="19"/>
    <row r="96" ht="15.75" customHeight="1" s="19"/>
    <row r="97" ht="15.75" customHeight="1" s="19"/>
    <row r="98" ht="15.75" customHeight="1" s="19"/>
    <row r="99" ht="15.75" customHeight="1" s="19"/>
    <row r="100" ht="15.75" customHeight="1" s="19"/>
    <row r="101" ht="15.75" customHeight="1" s="19"/>
    <row r="102" ht="15.75" customHeight="1" s="19"/>
    <row r="103" ht="15.75" customHeight="1" s="19"/>
    <row r="104" ht="15.75" customHeight="1" s="19"/>
    <row r="105" ht="15.75" customHeight="1" s="19"/>
    <row r="106" ht="15.75" customHeight="1" s="19"/>
    <row r="107" ht="15.75" customHeight="1" s="19"/>
    <row r="108" ht="15.75" customHeight="1" s="19"/>
    <row r="109" ht="15.75" customHeight="1" s="19"/>
    <row r="110" ht="15.75" customHeight="1" s="19"/>
    <row r="111" ht="15.75" customHeight="1" s="19"/>
    <row r="112" ht="15.75" customHeight="1" s="19"/>
    <row r="113" ht="15.75" customHeight="1" s="19"/>
    <row r="114" ht="15.75" customHeight="1" s="19"/>
    <row r="115" ht="15.75" customHeight="1" s="19"/>
    <row r="116" ht="15.75" customHeight="1" s="19"/>
    <row r="117" ht="15.75" customHeight="1" s="19"/>
    <row r="118" ht="15.75" customHeight="1" s="19"/>
    <row r="119" ht="15.75" customHeight="1" s="19"/>
    <row r="120" ht="15.75" customHeight="1" s="19"/>
    <row r="121" ht="15.75" customHeight="1" s="19"/>
    <row r="122" ht="15.75" customHeight="1" s="19"/>
    <row r="123" ht="15.75" customHeight="1" s="19"/>
    <row r="124" ht="15.75" customHeight="1" s="19"/>
    <row r="125" ht="15.75" customHeight="1" s="19"/>
    <row r="126" ht="15.75" customHeight="1" s="19"/>
    <row r="127" ht="15.75" customHeight="1" s="19"/>
    <row r="128" ht="15.75" customHeight="1" s="19"/>
    <row r="129" ht="15.75" customHeight="1" s="19"/>
    <row r="130" ht="15.75" customHeight="1" s="19"/>
    <row r="131" ht="15.75" customHeight="1" s="19"/>
    <row r="132" ht="15.75" customHeight="1" s="19"/>
    <row r="133" ht="15.75" customHeight="1" s="19"/>
    <row r="134" ht="15.75" customHeight="1" s="19"/>
    <row r="135" ht="15.75" customHeight="1" s="19"/>
    <row r="136" ht="15.75" customHeight="1" s="19"/>
    <row r="137" ht="15.75" customHeight="1" s="19"/>
    <row r="138" ht="15.75" customHeight="1" s="19"/>
    <row r="139" ht="15.75" customHeight="1" s="19"/>
    <row r="140" ht="15.75" customHeight="1" s="19"/>
    <row r="141" ht="15.75" customHeight="1" s="19"/>
    <row r="142" ht="15.75" customHeight="1" s="19"/>
    <row r="143" ht="15.75" customHeight="1" s="19"/>
    <row r="144" ht="15.75" customHeight="1" s="19"/>
    <row r="145" ht="15.75" customHeight="1" s="19"/>
    <row r="146" ht="15.75" customHeight="1" s="19"/>
    <row r="147" ht="15.75" customHeight="1" s="19"/>
    <row r="148" ht="15.75" customHeight="1" s="19"/>
    <row r="149" ht="15.75" customHeight="1" s="19"/>
    <row r="150" ht="15.75" customHeight="1" s="19"/>
    <row r="151" ht="15.75" customHeight="1" s="19"/>
    <row r="152" ht="15.75" customHeight="1" s="19"/>
    <row r="153" ht="15.75" customHeight="1" s="19"/>
    <row r="154" ht="15.75" customHeight="1" s="19"/>
    <row r="155" ht="15.75" customHeight="1" s="19"/>
    <row r="156" ht="15.75" customHeight="1" s="19"/>
    <row r="157" ht="15.75" customHeight="1" s="19"/>
    <row r="158" ht="15.75" customHeight="1" s="19"/>
    <row r="159" ht="15.75" customHeight="1" s="19"/>
    <row r="160" ht="15.75" customHeight="1" s="19"/>
    <row r="161" ht="15.75" customHeight="1" s="19"/>
    <row r="162" ht="15.75" customHeight="1" s="19"/>
    <row r="163" ht="15.75" customHeight="1" s="19"/>
    <row r="164" ht="15.75" customHeight="1" s="19"/>
    <row r="165" ht="15.75" customHeight="1" s="19"/>
    <row r="166" ht="15.75" customHeight="1" s="19"/>
    <row r="167" ht="15.75" customHeight="1" s="19"/>
    <row r="168" ht="15.75" customHeight="1" s="19"/>
    <row r="169" ht="15.75" customHeight="1" s="19"/>
    <row r="170" ht="15.75" customHeight="1" s="19"/>
    <row r="171" ht="15.75" customHeight="1" s="19"/>
    <row r="172" ht="15.75" customHeight="1" s="19"/>
    <row r="173" ht="15.75" customHeight="1" s="19"/>
    <row r="174" ht="15.75" customHeight="1" s="19"/>
    <row r="175" ht="15.75" customHeight="1" s="19"/>
    <row r="176" ht="15.75" customHeight="1" s="19"/>
    <row r="177" ht="15.75" customHeight="1" s="19"/>
    <row r="178" ht="15.75" customHeight="1" s="19"/>
    <row r="179" ht="15.75" customHeight="1" s="19"/>
    <row r="180" ht="15.75" customHeight="1" s="19"/>
    <row r="181" ht="15.75" customHeight="1" s="19"/>
    <row r="182" ht="15.75" customHeight="1" s="19"/>
    <row r="183" ht="15.75" customHeight="1" s="19"/>
    <row r="184" ht="15.75" customHeight="1" s="19"/>
    <row r="185" ht="15.75" customHeight="1" s="19"/>
    <row r="186" ht="15.75" customHeight="1" s="19"/>
    <row r="187" ht="15.75" customHeight="1" s="19"/>
    <row r="188" ht="15.75" customHeight="1" s="19"/>
    <row r="189" ht="15.75" customHeight="1" s="19"/>
    <row r="190" ht="15.75" customHeight="1" s="19"/>
    <row r="191" ht="15.75" customHeight="1" s="19"/>
    <row r="192" ht="15.75" customHeight="1" s="19"/>
    <row r="193" ht="15.75" customHeight="1" s="19"/>
    <row r="194" ht="15.75" customHeight="1" s="19"/>
    <row r="195" ht="15.75" customHeight="1" s="19"/>
    <row r="196" ht="15.75" customHeight="1" s="19"/>
    <row r="197" ht="15.75" customHeight="1" s="19"/>
    <row r="198" ht="15.75" customHeight="1" s="19"/>
    <row r="199" ht="15.75" customHeight="1" s="19"/>
    <row r="200" ht="15.75" customHeight="1" s="19"/>
    <row r="201" ht="15.75" customHeight="1" s="19"/>
    <row r="202" ht="15.75" customHeight="1" s="19"/>
    <row r="203" ht="15.75" customHeight="1" s="19"/>
    <row r="204" ht="15.75" customHeight="1" s="19"/>
    <row r="205" ht="15.75" customHeight="1" s="19"/>
    <row r="206" ht="15.75" customHeight="1" s="19"/>
    <row r="207" ht="15.75" customHeight="1" s="19"/>
    <row r="208" ht="15.75" customHeight="1" s="19"/>
    <row r="209" ht="15.75" customHeight="1" s="19"/>
    <row r="210" ht="15.75" customHeight="1" s="19"/>
    <row r="211" ht="15.75" customHeight="1" s="19"/>
    <row r="212" ht="15.75" customHeight="1" s="19"/>
    <row r="213" ht="15.75" customHeight="1" s="19"/>
    <row r="214" ht="15.75" customHeight="1" s="19"/>
    <row r="215" ht="15.75" customHeight="1" s="19"/>
    <row r="216" ht="15.75" customHeight="1" s="19"/>
    <row r="217" ht="15.75" customHeight="1" s="19"/>
    <row r="218" ht="15.75" customHeight="1" s="19"/>
    <row r="219" ht="15.75" customHeight="1" s="19"/>
    <row r="220" ht="15.75" customHeight="1" s="19"/>
    <row r="221" ht="15.75" customHeight="1" s="19"/>
    <row r="222" ht="15.75" customHeight="1" s="19"/>
    <row r="223" ht="15.75" customHeight="1" s="19"/>
    <row r="224" ht="15.75" customHeight="1" s="19"/>
    <row r="225" ht="15.75" customHeight="1" s="19"/>
    <row r="226" ht="15.75" customHeight="1" s="19"/>
    <row r="227" ht="15.75" customHeight="1" s="19"/>
    <row r="228" ht="15.75" customHeight="1" s="19"/>
    <row r="229" ht="15.75" customHeight="1" s="19"/>
    <row r="230" ht="15.75" customHeight="1" s="19"/>
    <row r="231" ht="15.75" customHeight="1" s="19"/>
    <row r="232" ht="15.75" customHeight="1" s="19"/>
    <row r="233" ht="15.75" customHeight="1" s="19"/>
    <row r="234" ht="15.75" customHeight="1" s="19"/>
    <row r="235" ht="15.75" customHeight="1" s="19"/>
    <row r="236" ht="15.75" customHeight="1" s="19"/>
    <row r="237" ht="15.75" customHeight="1" s="19"/>
    <row r="238" ht="15.75" customHeight="1" s="19"/>
    <row r="239" ht="15.75" customHeight="1" s="19"/>
    <row r="240" ht="15.75" customHeight="1" s="19"/>
    <row r="241" ht="15.75" customHeight="1" s="19"/>
    <row r="242" ht="15.75" customHeight="1" s="19"/>
    <row r="243" ht="15.75" customHeight="1" s="19"/>
    <row r="244" ht="15.75" customHeight="1" s="19"/>
    <row r="245" ht="15.75" customHeight="1" s="19"/>
    <row r="246" ht="15.75" customHeight="1" s="19"/>
    <row r="247" ht="15.75" customHeight="1" s="19"/>
    <row r="248" ht="15.75" customHeight="1" s="19"/>
    <row r="249" ht="15.75" customHeight="1" s="19"/>
    <row r="250" ht="15.75" customHeight="1" s="19"/>
    <row r="251" ht="15.75" customHeight="1" s="19"/>
    <row r="252" ht="15.75" customHeight="1" s="19"/>
    <row r="253" ht="15.75" customHeight="1" s="19"/>
    <row r="254" ht="15.75" customHeight="1" s="19"/>
    <row r="255" ht="15.75" customHeight="1" s="19"/>
    <row r="256" ht="15.75" customHeight="1" s="19"/>
    <row r="257" ht="15.75" customHeight="1" s="19"/>
    <row r="258" ht="15.75" customHeight="1" s="19"/>
    <row r="259" ht="15.75" customHeight="1" s="19"/>
    <row r="260" ht="15.75" customHeight="1" s="19"/>
    <row r="261" ht="15.75" customHeight="1" s="19"/>
    <row r="262" ht="15.75" customHeight="1" s="19"/>
    <row r="263" ht="15.75" customHeight="1" s="19"/>
    <row r="264" ht="15.75" customHeight="1" s="19"/>
    <row r="265" ht="15.75" customHeight="1" s="19"/>
    <row r="266" ht="15.75" customHeight="1" s="19"/>
    <row r="267" ht="15.75" customHeight="1" s="19"/>
    <row r="268" ht="15.75" customHeight="1" s="19"/>
    <row r="269" ht="15.75" customHeight="1" s="19"/>
    <row r="270" ht="15.75" customHeight="1" s="19"/>
    <row r="271" ht="15.75" customHeight="1" s="19"/>
    <row r="272" ht="15.75" customHeight="1" s="19"/>
    <row r="273" ht="15.75" customHeight="1" s="19"/>
    <row r="274" ht="15.75" customHeight="1" s="19"/>
    <row r="275" ht="15.75" customHeight="1" s="19"/>
    <row r="276" ht="15.75" customHeight="1" s="19"/>
    <row r="277" ht="15.75" customHeight="1" s="19"/>
    <row r="278" ht="15.75" customHeight="1" s="19"/>
    <row r="279" ht="15.75" customHeight="1" s="19"/>
    <row r="280" ht="15.75" customHeight="1" s="19"/>
    <row r="281" ht="15.75" customHeight="1" s="19"/>
    <row r="282" ht="15.75" customHeight="1" s="19"/>
    <row r="283" ht="15.75" customHeight="1" s="19"/>
    <row r="284" ht="15.75" customHeight="1" s="19"/>
    <row r="285" ht="15.75" customHeight="1" s="19"/>
    <row r="286" ht="15.75" customHeight="1" s="19"/>
    <row r="287" ht="15.75" customHeight="1" s="19"/>
    <row r="288" ht="15.75" customHeight="1" s="19"/>
    <row r="289" ht="15.75" customHeight="1" s="19"/>
    <row r="290" ht="15.75" customHeight="1" s="19"/>
    <row r="291" ht="15.75" customHeight="1" s="19"/>
    <row r="292" ht="15.75" customHeight="1" s="19"/>
    <row r="293" ht="15.75" customHeight="1" s="19"/>
    <row r="294" ht="15.75" customHeight="1" s="19"/>
    <row r="295" ht="15.75" customHeight="1" s="19"/>
    <row r="296" ht="15.75" customHeight="1" s="19"/>
    <row r="297" ht="15.75" customHeight="1" s="19"/>
    <row r="298" ht="15.75" customHeight="1" s="19"/>
    <row r="299" ht="15.75" customHeight="1" s="19"/>
    <row r="300" ht="15.75" customHeight="1" s="19"/>
    <row r="301" ht="15.75" customHeight="1" s="19"/>
    <row r="302" ht="15.75" customHeight="1" s="19"/>
    <row r="303" ht="15.75" customHeight="1" s="19"/>
    <row r="304" ht="15.75" customHeight="1" s="19"/>
    <row r="305" ht="15.75" customHeight="1" s="19"/>
    <row r="306" ht="15.75" customHeight="1" s="19"/>
    <row r="307" ht="15.75" customHeight="1" s="19"/>
    <row r="308" ht="15.75" customHeight="1" s="19"/>
    <row r="309" ht="15.75" customHeight="1" s="19"/>
    <row r="310" ht="15.75" customHeight="1" s="19"/>
    <row r="311" ht="15.75" customHeight="1" s="19"/>
    <row r="312" ht="15.75" customHeight="1" s="19"/>
    <row r="313" ht="15.75" customHeight="1" s="19"/>
    <row r="314" ht="15.75" customHeight="1" s="19"/>
    <row r="315" ht="15.75" customHeight="1" s="19"/>
    <row r="316" ht="15.75" customHeight="1" s="19"/>
    <row r="317" ht="15.75" customHeight="1" s="19"/>
    <row r="318" ht="15.75" customHeight="1" s="19"/>
    <row r="319" ht="15.75" customHeight="1" s="19"/>
    <row r="320" ht="15.75" customHeight="1" s="19"/>
    <row r="321" ht="15.75" customHeight="1" s="19"/>
    <row r="322" ht="15.75" customHeight="1" s="19"/>
    <row r="323" ht="15.75" customHeight="1" s="19"/>
    <row r="324" ht="15.75" customHeight="1" s="19"/>
    <row r="325" ht="15.75" customHeight="1" s="19"/>
    <row r="326" ht="15.75" customHeight="1" s="19"/>
    <row r="327" ht="15.75" customHeight="1" s="19"/>
    <row r="328" ht="15.75" customHeight="1" s="19"/>
    <row r="329" ht="15.75" customHeight="1" s="19"/>
    <row r="330" ht="15.75" customHeight="1" s="19"/>
    <row r="331" ht="15.75" customHeight="1" s="19"/>
    <row r="332" ht="15.75" customHeight="1" s="19"/>
    <row r="333" ht="15.75" customHeight="1" s="19"/>
    <row r="334" ht="15.75" customHeight="1" s="19"/>
    <row r="335" ht="15.75" customHeight="1" s="19"/>
    <row r="336" ht="15.75" customHeight="1" s="19"/>
    <row r="337" ht="15.75" customHeight="1" s="19"/>
    <row r="338" ht="15.75" customHeight="1" s="19"/>
    <row r="339" ht="15.75" customHeight="1" s="19"/>
    <row r="340" ht="15.75" customHeight="1" s="19"/>
    <row r="341" ht="15.75" customHeight="1" s="19"/>
    <row r="342" ht="15.75" customHeight="1" s="19"/>
    <row r="343" ht="15.75" customHeight="1" s="19"/>
    <row r="344" ht="15.75" customHeight="1" s="19"/>
    <row r="345" ht="15.75" customHeight="1" s="19"/>
    <row r="346" ht="15.75" customHeight="1" s="19"/>
    <row r="347" ht="15.75" customHeight="1" s="19"/>
    <row r="348" ht="15.75" customHeight="1" s="19"/>
    <row r="349" ht="15.75" customHeight="1" s="19"/>
    <row r="350" ht="15.75" customHeight="1" s="19"/>
    <row r="351" ht="15.75" customHeight="1" s="19"/>
    <row r="352" ht="15.75" customHeight="1" s="19"/>
    <row r="353" ht="15.75" customHeight="1" s="19"/>
    <row r="354" ht="15.75" customHeight="1" s="19"/>
    <row r="355" ht="15.75" customHeight="1" s="19"/>
    <row r="356" ht="15.75" customHeight="1" s="19"/>
    <row r="357" ht="15.75" customHeight="1" s="19"/>
    <row r="358" ht="15.75" customHeight="1" s="19"/>
    <row r="359" ht="15.75" customHeight="1" s="19"/>
    <row r="360" ht="15.75" customHeight="1" s="19"/>
    <row r="361" ht="15.75" customHeight="1" s="19"/>
    <row r="362" ht="15.75" customHeight="1" s="19"/>
    <row r="363" ht="15.75" customHeight="1" s="19"/>
    <row r="364" ht="15.75" customHeight="1" s="19"/>
    <row r="365" ht="15.75" customHeight="1" s="19"/>
    <row r="366" ht="15.75" customHeight="1" s="19"/>
    <row r="367" ht="15.75" customHeight="1" s="19"/>
    <row r="368" ht="15.75" customHeight="1" s="19"/>
    <row r="369" ht="15.75" customHeight="1" s="19"/>
    <row r="370" ht="15.75" customHeight="1" s="19"/>
    <row r="371" ht="15.75" customHeight="1" s="19"/>
    <row r="372" ht="15.75" customHeight="1" s="19"/>
    <row r="373" ht="15.75" customHeight="1" s="19"/>
    <row r="374" ht="15.75" customHeight="1" s="19"/>
    <row r="375" ht="15.75" customHeight="1" s="19"/>
    <row r="376" ht="15.75" customHeight="1" s="19"/>
    <row r="377" ht="15.75" customHeight="1" s="19"/>
    <row r="378" ht="15.75" customHeight="1" s="19"/>
    <row r="379" ht="15.75" customHeight="1" s="19"/>
    <row r="380" ht="15.75" customHeight="1" s="19"/>
    <row r="381" ht="15.75" customHeight="1" s="19"/>
    <row r="382" ht="15.75" customHeight="1" s="19"/>
    <row r="383" ht="15.75" customHeight="1" s="19"/>
    <row r="384" ht="15.75" customHeight="1" s="19"/>
    <row r="385" ht="15.75" customHeight="1" s="19"/>
    <row r="386" ht="15.75" customHeight="1" s="19"/>
    <row r="387" ht="15.75" customHeight="1" s="19"/>
    <row r="388" ht="15.75" customHeight="1" s="19"/>
    <row r="389" ht="15.75" customHeight="1" s="19"/>
    <row r="390" ht="15.75" customHeight="1" s="19"/>
    <row r="391" ht="15.75" customHeight="1" s="19"/>
    <row r="392" ht="15.75" customHeight="1" s="19"/>
    <row r="393" ht="15.75" customHeight="1" s="19"/>
    <row r="394" ht="15.75" customHeight="1" s="19"/>
    <row r="395" ht="15.75" customHeight="1" s="19"/>
    <row r="396" ht="15.75" customHeight="1" s="19"/>
    <row r="397" ht="15.75" customHeight="1" s="19"/>
    <row r="398" ht="15.75" customHeight="1" s="19"/>
    <row r="399" ht="15.75" customHeight="1" s="19"/>
    <row r="400" ht="15.75" customHeight="1" s="19"/>
    <row r="401" ht="15.75" customHeight="1" s="19"/>
    <row r="402" ht="15.75" customHeight="1" s="19"/>
    <row r="403" ht="15.75" customHeight="1" s="19"/>
    <row r="404" ht="15.75" customHeight="1" s="19"/>
    <row r="405" ht="15.75" customHeight="1" s="19"/>
    <row r="406" ht="15.75" customHeight="1" s="19"/>
    <row r="407" ht="15.75" customHeight="1" s="19"/>
    <row r="408" ht="15.75" customHeight="1" s="19"/>
    <row r="409" ht="15.75" customHeight="1" s="19"/>
    <row r="410" ht="15.75" customHeight="1" s="19"/>
    <row r="411" ht="15.75" customHeight="1" s="19"/>
    <row r="412" ht="15.75" customHeight="1" s="19"/>
    <row r="413" ht="15.75" customHeight="1" s="19"/>
    <row r="414" ht="15.75" customHeight="1" s="19"/>
    <row r="415" ht="15.75" customHeight="1" s="19"/>
    <row r="416" ht="15.75" customHeight="1" s="19"/>
    <row r="417" ht="15.75" customHeight="1" s="19"/>
    <row r="418" ht="15.75" customHeight="1" s="19"/>
    <row r="419" ht="15.75" customHeight="1" s="19"/>
    <row r="420" ht="15.75" customHeight="1" s="19"/>
    <row r="421" ht="15.75" customHeight="1" s="19"/>
    <row r="422" ht="15.75" customHeight="1" s="19"/>
    <row r="423" ht="15.75" customHeight="1" s="19"/>
    <row r="424" ht="15.75" customHeight="1" s="19"/>
    <row r="425" ht="15.75" customHeight="1" s="19"/>
    <row r="426" ht="15.75" customHeight="1" s="19"/>
    <row r="427" ht="15.75" customHeight="1" s="19"/>
    <row r="428" ht="15.75" customHeight="1" s="19"/>
    <row r="429" ht="15.75" customHeight="1" s="19"/>
    <row r="430" ht="15.75" customHeight="1" s="19"/>
    <row r="431" ht="15.75" customHeight="1" s="19"/>
    <row r="432" ht="15.75" customHeight="1" s="19"/>
    <row r="433" ht="15.75" customHeight="1" s="19"/>
    <row r="434" ht="15.75" customHeight="1" s="19"/>
    <row r="435" ht="15.75" customHeight="1" s="19"/>
    <row r="436" ht="15.75" customHeight="1" s="19"/>
    <row r="437" ht="15.75" customHeight="1" s="19"/>
    <row r="438" ht="15.75" customHeight="1" s="19"/>
    <row r="439" ht="15.75" customHeight="1" s="19"/>
    <row r="440" ht="15.75" customHeight="1" s="19"/>
    <row r="441" ht="15.75" customHeight="1" s="19"/>
    <row r="442" ht="15.75" customHeight="1" s="19"/>
    <row r="443" ht="15.75" customHeight="1" s="19"/>
    <row r="444" ht="15.75" customHeight="1" s="19"/>
    <row r="445" ht="15.75" customHeight="1" s="19"/>
    <row r="446" ht="15.75" customHeight="1" s="19"/>
    <row r="447" ht="15.75" customHeight="1" s="19"/>
    <row r="448" ht="15.75" customHeight="1" s="19"/>
    <row r="449" ht="15.75" customHeight="1" s="19"/>
    <row r="450" ht="15.75" customHeight="1" s="19"/>
    <row r="451" ht="15.75" customHeight="1" s="19"/>
    <row r="452" ht="15.75" customHeight="1" s="19"/>
    <row r="453" ht="15.75" customHeight="1" s="19"/>
    <row r="454" ht="15.75" customHeight="1" s="19"/>
    <row r="455" ht="15.75" customHeight="1" s="19"/>
    <row r="456" ht="15.75" customHeight="1" s="19"/>
    <row r="457" ht="15.75" customHeight="1" s="19"/>
    <row r="458" ht="15.75" customHeight="1" s="19"/>
    <row r="459" ht="15.75" customHeight="1" s="19"/>
    <row r="460" ht="15.75" customHeight="1" s="19"/>
    <row r="461" ht="15.75" customHeight="1" s="19"/>
    <row r="462" ht="15.75" customHeight="1" s="19"/>
    <row r="463" ht="15.75" customHeight="1" s="19"/>
    <row r="464" ht="15.75" customHeight="1" s="19"/>
    <row r="465" ht="15.75" customHeight="1" s="19"/>
    <row r="466" ht="15.75" customHeight="1" s="19"/>
    <row r="467" ht="15.75" customHeight="1" s="19"/>
    <row r="468" ht="15.75" customHeight="1" s="19"/>
    <row r="469" ht="15.75" customHeight="1" s="19"/>
    <row r="470" ht="15.75" customHeight="1" s="19"/>
    <row r="471" ht="15.75" customHeight="1" s="19"/>
    <row r="472" ht="15.75" customHeight="1" s="19"/>
    <row r="473" ht="15.75" customHeight="1" s="19"/>
    <row r="474" ht="15.75" customHeight="1" s="19"/>
    <row r="475" ht="15.75" customHeight="1" s="19"/>
    <row r="476" ht="15.75" customHeight="1" s="19"/>
    <row r="477" ht="15.75" customHeight="1" s="19"/>
    <row r="478" ht="15.75" customHeight="1" s="19"/>
    <row r="479" ht="15.75" customHeight="1" s="19"/>
    <row r="480" ht="15.75" customHeight="1" s="19"/>
    <row r="481" ht="15.75" customHeight="1" s="19"/>
    <row r="482" ht="15.75" customHeight="1" s="19"/>
    <row r="483" ht="15.75" customHeight="1" s="19"/>
    <row r="484" ht="15.75" customHeight="1" s="19"/>
    <row r="485" ht="15.75" customHeight="1" s="19"/>
    <row r="486" ht="15.75" customHeight="1" s="19"/>
    <row r="487" ht="15.75" customHeight="1" s="19"/>
    <row r="488" ht="15.75" customHeight="1" s="19"/>
    <row r="489" ht="15.75" customHeight="1" s="19"/>
    <row r="490" ht="15.75" customHeight="1" s="19"/>
    <row r="491" ht="15.75" customHeight="1" s="19"/>
    <row r="492" ht="15.75" customHeight="1" s="19"/>
    <row r="493" ht="15.75" customHeight="1" s="19"/>
    <row r="494" ht="15.75" customHeight="1" s="19"/>
    <row r="495" ht="15.75" customHeight="1" s="19"/>
    <row r="496" ht="15.75" customHeight="1" s="19"/>
    <row r="497" ht="15.75" customHeight="1" s="19"/>
    <row r="498" ht="15.75" customHeight="1" s="19"/>
    <row r="499" ht="15.75" customHeight="1" s="19"/>
    <row r="500" ht="15.75" customHeight="1" s="19"/>
    <row r="501" ht="15.75" customHeight="1" s="19"/>
    <row r="502" ht="15.75" customHeight="1" s="19"/>
    <row r="503" ht="15.75" customHeight="1" s="19"/>
    <row r="504" ht="15.75" customHeight="1" s="19"/>
    <row r="505" ht="15.75" customHeight="1" s="19"/>
    <row r="506" ht="15.75" customHeight="1" s="19"/>
    <row r="507" ht="15.75" customHeight="1" s="19"/>
    <row r="508" ht="15.75" customHeight="1" s="19"/>
    <row r="509" ht="15.75" customHeight="1" s="19"/>
    <row r="510" ht="15.75" customHeight="1" s="19"/>
    <row r="511" ht="15.75" customHeight="1" s="19"/>
    <row r="512" ht="15.75" customHeight="1" s="19"/>
    <row r="513" ht="15.75" customHeight="1" s="19"/>
    <row r="514" ht="15.75" customHeight="1" s="19"/>
    <row r="515" ht="15.75" customHeight="1" s="19"/>
    <row r="516" ht="15.75" customHeight="1" s="19"/>
    <row r="517" ht="15.75" customHeight="1" s="19"/>
    <row r="518" ht="15.75" customHeight="1" s="19"/>
    <row r="519" ht="15.75" customHeight="1" s="19"/>
    <row r="520" ht="15.75" customHeight="1" s="19"/>
    <row r="521" ht="15.75" customHeight="1" s="19"/>
    <row r="522" ht="15.75" customHeight="1" s="19"/>
    <row r="523" ht="15.75" customHeight="1" s="19"/>
    <row r="524" ht="15.75" customHeight="1" s="19"/>
    <row r="525" ht="15.75" customHeight="1" s="19"/>
    <row r="526" ht="15.75" customHeight="1" s="19"/>
    <row r="527" ht="15.75" customHeight="1" s="19"/>
    <row r="528" ht="15.75" customHeight="1" s="19"/>
    <row r="529" ht="15.75" customHeight="1" s="19"/>
    <row r="530" ht="15.75" customHeight="1" s="19"/>
    <row r="531" ht="15.75" customHeight="1" s="19"/>
    <row r="532" ht="15.75" customHeight="1" s="19"/>
    <row r="533" ht="15.75" customHeight="1" s="19"/>
    <row r="534" ht="15.75" customHeight="1" s="19"/>
    <row r="535" ht="15.75" customHeight="1" s="19"/>
    <row r="536" ht="15.75" customHeight="1" s="19"/>
    <row r="537" ht="15.75" customHeight="1" s="19"/>
    <row r="538" ht="15.75" customHeight="1" s="19"/>
    <row r="539" ht="15.75" customHeight="1" s="19"/>
    <row r="540" ht="15.75" customHeight="1" s="19"/>
    <row r="541" ht="15.75" customHeight="1" s="19"/>
    <row r="542" ht="15.75" customHeight="1" s="19"/>
    <row r="543" ht="15.75" customHeight="1" s="19"/>
    <row r="544" ht="15.75" customHeight="1" s="19"/>
    <row r="545" ht="15.75" customHeight="1" s="19"/>
    <row r="546" ht="15.75" customHeight="1" s="19"/>
    <row r="547" ht="15.75" customHeight="1" s="19"/>
    <row r="548" ht="15.75" customHeight="1" s="19"/>
    <row r="549" ht="15.75" customHeight="1" s="19"/>
    <row r="550" ht="15.75" customHeight="1" s="19"/>
    <row r="551" ht="15.75" customHeight="1" s="19"/>
    <row r="552" ht="15.75" customHeight="1" s="19"/>
    <row r="553" ht="15.75" customHeight="1" s="19"/>
    <row r="554" ht="15.75" customHeight="1" s="19"/>
    <row r="555" ht="15.75" customHeight="1" s="19"/>
    <row r="556" ht="15.75" customHeight="1" s="19"/>
    <row r="557" ht="15.75" customHeight="1" s="19"/>
    <row r="558" ht="15.75" customHeight="1" s="19"/>
    <row r="559" ht="15.75" customHeight="1" s="19"/>
    <row r="560" ht="15.75" customHeight="1" s="19"/>
    <row r="561" ht="15.75" customHeight="1" s="19"/>
    <row r="562" ht="15.75" customHeight="1" s="19"/>
    <row r="563" ht="15.75" customHeight="1" s="19"/>
    <row r="564" ht="15.75" customHeight="1" s="19"/>
    <row r="565" ht="15.75" customHeight="1" s="19"/>
    <row r="566" ht="15.75" customHeight="1" s="19"/>
    <row r="567" ht="15.75" customHeight="1" s="19"/>
    <row r="568" ht="15.75" customHeight="1" s="19"/>
    <row r="569" ht="15.75" customHeight="1" s="19"/>
    <row r="570" ht="15.75" customHeight="1" s="19"/>
    <row r="571" ht="15.75" customHeight="1" s="19"/>
    <row r="572" ht="15.75" customHeight="1" s="19"/>
    <row r="573" ht="15.75" customHeight="1" s="19"/>
    <row r="574" ht="15.75" customHeight="1" s="19"/>
    <row r="575" ht="15.75" customHeight="1" s="19"/>
    <row r="576" ht="15.75" customHeight="1" s="19"/>
    <row r="577" ht="15.75" customHeight="1" s="19"/>
    <row r="578" ht="15.75" customHeight="1" s="19"/>
    <row r="579" ht="15.75" customHeight="1" s="19"/>
    <row r="580" ht="15.75" customHeight="1" s="19"/>
    <row r="581" ht="15.75" customHeight="1" s="19"/>
    <row r="582" ht="15.75" customHeight="1" s="19"/>
    <row r="583" ht="15.75" customHeight="1" s="19"/>
    <row r="584" ht="15.75" customHeight="1" s="19"/>
    <row r="585" ht="15.75" customHeight="1" s="19"/>
    <row r="586" ht="15.75" customHeight="1" s="19"/>
    <row r="587" ht="15.75" customHeight="1" s="19"/>
    <row r="588" ht="15.75" customHeight="1" s="19"/>
    <row r="589" ht="15.75" customHeight="1" s="19"/>
    <row r="590" ht="15.75" customHeight="1" s="19"/>
    <row r="591" ht="15.75" customHeight="1" s="19"/>
    <row r="592" ht="15.75" customHeight="1" s="19"/>
    <row r="593" ht="15.75" customHeight="1" s="19"/>
    <row r="594" ht="15.75" customHeight="1" s="19"/>
    <row r="595" ht="15.75" customHeight="1" s="19"/>
    <row r="596" ht="15.75" customHeight="1" s="19"/>
    <row r="597" ht="15.75" customHeight="1" s="19"/>
    <row r="598" ht="15.75" customHeight="1" s="19"/>
    <row r="599" ht="15.75" customHeight="1" s="19"/>
    <row r="600" ht="15.75" customHeight="1" s="19"/>
    <row r="601" ht="15.75" customHeight="1" s="19"/>
    <row r="602" ht="15.75" customHeight="1" s="19"/>
    <row r="603" ht="15.75" customHeight="1" s="19"/>
    <row r="604" ht="15.75" customHeight="1" s="19"/>
    <row r="605" ht="15.75" customHeight="1" s="19"/>
    <row r="606" ht="15.75" customHeight="1" s="19"/>
    <row r="607" ht="15.75" customHeight="1" s="19"/>
    <row r="608" ht="15.75" customHeight="1" s="19"/>
    <row r="609" ht="15.75" customHeight="1" s="19"/>
    <row r="610" ht="15.75" customHeight="1" s="19"/>
    <row r="611" ht="15.75" customHeight="1" s="19"/>
    <row r="612" ht="15.75" customHeight="1" s="19"/>
    <row r="613" ht="15.75" customHeight="1" s="19"/>
    <row r="614" ht="15.75" customHeight="1" s="19"/>
    <row r="615" ht="15.75" customHeight="1" s="19"/>
    <row r="616" ht="15.75" customHeight="1" s="19"/>
    <row r="617" ht="15.75" customHeight="1" s="19"/>
    <row r="618" ht="15.75" customHeight="1" s="19"/>
    <row r="619" ht="15.75" customHeight="1" s="19"/>
    <row r="620" ht="15.75" customHeight="1" s="19"/>
    <row r="621" ht="15.75" customHeight="1" s="19"/>
    <row r="622" ht="15.75" customHeight="1" s="19"/>
    <row r="623" ht="15.75" customHeight="1" s="19"/>
    <row r="624" ht="15.75" customHeight="1" s="19"/>
    <row r="625" ht="15.75" customHeight="1" s="19"/>
    <row r="626" ht="15.75" customHeight="1" s="19"/>
    <row r="627" ht="15.75" customHeight="1" s="19"/>
    <row r="628" ht="15.75" customHeight="1" s="19"/>
    <row r="629" ht="15.75" customHeight="1" s="19"/>
    <row r="630" ht="15.75" customHeight="1" s="19"/>
    <row r="631" ht="15.75" customHeight="1" s="19"/>
    <row r="632" ht="15.75" customHeight="1" s="19"/>
    <row r="633" ht="15.75" customHeight="1" s="19"/>
    <row r="634" ht="15.75" customHeight="1" s="19"/>
    <row r="635" ht="15.75" customHeight="1" s="19"/>
    <row r="636" ht="15.75" customHeight="1" s="19"/>
    <row r="637" ht="15.75" customHeight="1" s="19"/>
    <row r="638" ht="15.75" customHeight="1" s="19"/>
    <row r="639" ht="15.75" customHeight="1" s="19"/>
    <row r="640" ht="15.75" customHeight="1" s="19"/>
    <row r="641" ht="15.75" customHeight="1" s="19"/>
    <row r="642" ht="15.75" customHeight="1" s="19"/>
    <row r="643" ht="15.75" customHeight="1" s="19"/>
    <row r="644" ht="15.75" customHeight="1" s="19"/>
    <row r="645" ht="15.75" customHeight="1" s="19"/>
    <row r="646" ht="15.75" customHeight="1" s="19"/>
    <row r="647" ht="15.75" customHeight="1" s="19"/>
    <row r="648" ht="15.75" customHeight="1" s="19"/>
    <row r="649" ht="15.75" customHeight="1" s="19"/>
    <row r="650" ht="15.75" customHeight="1" s="19"/>
    <row r="651" ht="15.75" customHeight="1" s="19"/>
    <row r="652" ht="15.75" customHeight="1" s="19"/>
    <row r="653" ht="15.75" customHeight="1" s="19"/>
    <row r="654" ht="15.75" customHeight="1" s="19"/>
    <row r="655" ht="15.75" customHeight="1" s="19"/>
    <row r="656" ht="15.75" customHeight="1" s="19"/>
    <row r="657" ht="15.75" customHeight="1" s="19"/>
    <row r="658" ht="15.75" customHeight="1" s="19"/>
    <row r="659" ht="15.75" customHeight="1" s="19"/>
    <row r="660" ht="15.75" customHeight="1" s="19"/>
    <row r="661" ht="15.75" customHeight="1" s="19"/>
    <row r="662" ht="15.75" customHeight="1" s="19"/>
    <row r="663" ht="15.75" customHeight="1" s="19"/>
    <row r="664" ht="15.75" customHeight="1" s="19"/>
    <row r="665" ht="15.75" customHeight="1" s="19"/>
    <row r="666" ht="15.75" customHeight="1" s="19"/>
    <row r="667" ht="15.75" customHeight="1" s="19"/>
    <row r="668" ht="15.75" customHeight="1" s="19"/>
    <row r="669" ht="15.75" customHeight="1" s="19"/>
    <row r="670" ht="15.75" customHeight="1" s="19"/>
    <row r="671" ht="15.75" customHeight="1" s="19"/>
    <row r="672" ht="15.75" customHeight="1" s="19"/>
    <row r="673" ht="15.75" customHeight="1" s="19"/>
    <row r="674" ht="15.75" customHeight="1" s="19"/>
    <row r="675" ht="15.75" customHeight="1" s="19"/>
    <row r="676" ht="15.75" customHeight="1" s="19"/>
    <row r="677" ht="15.75" customHeight="1" s="19"/>
    <row r="678" ht="15.75" customHeight="1" s="19"/>
    <row r="679" ht="15.75" customHeight="1" s="19"/>
    <row r="680" ht="15.75" customHeight="1" s="19"/>
    <row r="681" ht="15.75" customHeight="1" s="19"/>
    <row r="682" ht="15.75" customHeight="1" s="19"/>
    <row r="683" ht="15.75" customHeight="1" s="19"/>
    <row r="684" ht="15.75" customHeight="1" s="19"/>
    <row r="685" ht="15.75" customHeight="1" s="19"/>
    <row r="686" ht="15.75" customHeight="1" s="19"/>
    <row r="687" ht="15.75" customHeight="1" s="19"/>
    <row r="688" ht="15.75" customHeight="1" s="19"/>
    <row r="689" ht="15.75" customHeight="1" s="19"/>
    <row r="690" ht="15.75" customHeight="1" s="19"/>
    <row r="691" ht="15.75" customHeight="1" s="19"/>
    <row r="692" ht="15.75" customHeight="1" s="19"/>
    <row r="693" ht="15.75" customHeight="1" s="19"/>
    <row r="694" ht="15.75" customHeight="1" s="19"/>
    <row r="695" ht="15.75" customHeight="1" s="19"/>
    <row r="696" ht="15.75" customHeight="1" s="19"/>
    <row r="697" ht="15.75" customHeight="1" s="19"/>
    <row r="698" ht="15.75" customHeight="1" s="19"/>
    <row r="699" ht="15.75" customHeight="1" s="19"/>
    <row r="700" ht="15.75" customHeight="1" s="19"/>
    <row r="701" ht="15.75" customHeight="1" s="19"/>
    <row r="702" ht="15.75" customHeight="1" s="19"/>
    <row r="703" ht="15.75" customHeight="1" s="19"/>
    <row r="704" ht="15.75" customHeight="1" s="19"/>
    <row r="705" ht="15.75" customHeight="1" s="19"/>
    <row r="706" ht="15.75" customHeight="1" s="19"/>
    <row r="707" ht="15.75" customHeight="1" s="19"/>
    <row r="708" ht="15.75" customHeight="1" s="19"/>
    <row r="709" ht="15.75" customHeight="1" s="19"/>
    <row r="710" ht="15.75" customHeight="1" s="19"/>
    <row r="711" ht="15.75" customHeight="1" s="19"/>
    <row r="712" ht="15.75" customHeight="1" s="19"/>
    <row r="713" ht="15.75" customHeight="1" s="19"/>
    <row r="714" ht="15.75" customHeight="1" s="19"/>
    <row r="715" ht="15.75" customHeight="1" s="19"/>
    <row r="716" ht="15.75" customHeight="1" s="19"/>
    <row r="717" ht="15.75" customHeight="1" s="19"/>
    <row r="718" ht="15.75" customHeight="1" s="19"/>
    <row r="719" ht="15.75" customHeight="1" s="19"/>
    <row r="720" ht="15.75" customHeight="1" s="19"/>
    <row r="721" ht="15.75" customHeight="1" s="19"/>
    <row r="722" ht="15.75" customHeight="1" s="19"/>
    <row r="723" ht="15.75" customHeight="1" s="19"/>
    <row r="724" ht="15.75" customHeight="1" s="19"/>
    <row r="725" ht="15.75" customHeight="1" s="19"/>
    <row r="726" ht="15.75" customHeight="1" s="19"/>
    <row r="727" ht="15.75" customHeight="1" s="19"/>
    <row r="728" ht="15.75" customHeight="1" s="19"/>
    <row r="729" ht="15.75" customHeight="1" s="19"/>
    <row r="730" ht="15.75" customHeight="1" s="19"/>
    <row r="731" ht="15.75" customHeight="1" s="19"/>
    <row r="732" ht="15.75" customHeight="1" s="19"/>
    <row r="733" ht="15.75" customHeight="1" s="19"/>
    <row r="734" ht="15.75" customHeight="1" s="19"/>
    <row r="735" ht="15.75" customHeight="1" s="19"/>
    <row r="736" ht="15.75" customHeight="1" s="19"/>
    <row r="737" ht="15.75" customHeight="1" s="19"/>
    <row r="738" ht="15.75" customHeight="1" s="19"/>
    <row r="739" ht="15.75" customHeight="1" s="19"/>
    <row r="740" ht="15.75" customHeight="1" s="19"/>
    <row r="741" ht="15.75" customHeight="1" s="19"/>
    <row r="742" ht="15.75" customHeight="1" s="19"/>
    <row r="743" ht="15.75" customHeight="1" s="19"/>
    <row r="744" ht="15.75" customHeight="1" s="19"/>
    <row r="745" ht="15.75" customHeight="1" s="19"/>
    <row r="746" ht="15.75" customHeight="1" s="19"/>
    <row r="747" ht="15.75" customHeight="1" s="19"/>
    <row r="748" ht="15.75" customHeight="1" s="19"/>
    <row r="749" ht="15.75" customHeight="1" s="19"/>
    <row r="750" ht="15.75" customHeight="1" s="19"/>
    <row r="751" ht="15.75" customHeight="1" s="19"/>
    <row r="752" ht="15.75" customHeight="1" s="19"/>
    <row r="753" ht="15.75" customHeight="1" s="19"/>
    <row r="754" ht="15.75" customHeight="1" s="19"/>
    <row r="755" ht="15.75" customHeight="1" s="19"/>
    <row r="756" ht="15.75" customHeight="1" s="19"/>
    <row r="757" ht="15.75" customHeight="1" s="19"/>
    <row r="758" ht="15.75" customHeight="1" s="19"/>
    <row r="759" ht="15.75" customHeight="1" s="19"/>
    <row r="760" ht="15.75" customHeight="1" s="19"/>
    <row r="761" ht="15.75" customHeight="1" s="19"/>
    <row r="762" ht="15.75" customHeight="1" s="19"/>
    <row r="763" ht="15.75" customHeight="1" s="19"/>
    <row r="764" ht="15.75" customHeight="1" s="19"/>
    <row r="765" ht="15.75" customHeight="1" s="19"/>
    <row r="766" ht="15.75" customHeight="1" s="19"/>
    <row r="767" ht="15.75" customHeight="1" s="19"/>
    <row r="768" ht="15.75" customHeight="1" s="19"/>
    <row r="769" ht="15.75" customHeight="1" s="19"/>
    <row r="770" ht="15.75" customHeight="1" s="19"/>
    <row r="771" ht="15.75" customHeight="1" s="19"/>
    <row r="772" ht="15.75" customHeight="1" s="19"/>
    <row r="773" ht="15.75" customHeight="1" s="19"/>
    <row r="774" ht="15.75" customHeight="1" s="19"/>
    <row r="775" ht="15.75" customHeight="1" s="19"/>
    <row r="776" ht="15.75" customHeight="1" s="19"/>
    <row r="777" ht="15.75" customHeight="1" s="19"/>
    <row r="778" ht="15.75" customHeight="1" s="19"/>
    <row r="779" ht="15.75" customHeight="1" s="19"/>
    <row r="780" ht="15.75" customHeight="1" s="19"/>
    <row r="781" ht="15.75" customHeight="1" s="19"/>
    <row r="782" ht="15.75" customHeight="1" s="19"/>
    <row r="783" ht="15.75" customHeight="1" s="19"/>
    <row r="784" ht="15.75" customHeight="1" s="19"/>
    <row r="785" ht="15.75" customHeight="1" s="19"/>
    <row r="786" ht="15.75" customHeight="1" s="19"/>
    <row r="787" ht="15.75" customHeight="1" s="19"/>
    <row r="788" ht="15.75" customHeight="1" s="19"/>
    <row r="789" ht="15.75" customHeight="1" s="19"/>
    <row r="790" ht="15.75" customHeight="1" s="19"/>
    <row r="791" ht="15.75" customHeight="1" s="19"/>
    <row r="792" ht="15.75" customHeight="1" s="19"/>
    <row r="793" ht="15.75" customHeight="1" s="19"/>
    <row r="794" ht="15.75" customHeight="1" s="19"/>
    <row r="795" ht="15.75" customHeight="1" s="19"/>
    <row r="796" ht="15.75" customHeight="1" s="19"/>
    <row r="797" ht="15.75" customHeight="1" s="19"/>
    <row r="798" ht="15.75" customHeight="1" s="19"/>
    <row r="799" ht="15.75" customHeight="1" s="19"/>
    <row r="800" ht="15.75" customHeight="1" s="19"/>
    <row r="801" ht="15.75" customHeight="1" s="19"/>
    <row r="802" ht="15.75" customHeight="1" s="19"/>
    <row r="803" ht="15.75" customHeight="1" s="19"/>
    <row r="804" ht="15.75" customHeight="1" s="19"/>
    <row r="805" ht="15.75" customHeight="1" s="19"/>
    <row r="806" ht="15.75" customHeight="1" s="19"/>
    <row r="807" ht="15.75" customHeight="1" s="19"/>
    <row r="808" ht="15.75" customHeight="1" s="19"/>
    <row r="809" ht="15.75" customHeight="1" s="19"/>
    <row r="810" ht="15.75" customHeight="1" s="19"/>
    <row r="811" ht="15.75" customHeight="1" s="19"/>
    <row r="812" ht="15.75" customHeight="1" s="19"/>
    <row r="813" ht="15.75" customHeight="1" s="19"/>
    <row r="814" ht="15.75" customHeight="1" s="19"/>
    <row r="815" ht="15.75" customHeight="1" s="19"/>
    <row r="816" ht="15.75" customHeight="1" s="19"/>
    <row r="817" ht="15.75" customHeight="1" s="19"/>
    <row r="818" ht="15.75" customHeight="1" s="19"/>
    <row r="819" ht="15.75" customHeight="1" s="19"/>
    <row r="820" ht="15.75" customHeight="1" s="19"/>
    <row r="821" ht="15.75" customHeight="1" s="19"/>
    <row r="822" ht="15.75" customHeight="1" s="19"/>
    <row r="823" ht="15.75" customHeight="1" s="19"/>
    <row r="824" ht="15.75" customHeight="1" s="19"/>
    <row r="825" ht="15.75" customHeight="1" s="19"/>
    <row r="826" ht="15.75" customHeight="1" s="19"/>
    <row r="827" ht="15.75" customHeight="1" s="19"/>
    <row r="828" ht="15.75" customHeight="1" s="19"/>
    <row r="829" ht="15.75" customHeight="1" s="19"/>
    <row r="830" ht="15.75" customHeight="1" s="19"/>
    <row r="831" ht="15.75" customHeight="1" s="19"/>
    <row r="832" ht="15.75" customHeight="1" s="19"/>
    <row r="833" ht="15.75" customHeight="1" s="19"/>
    <row r="834" ht="15.75" customHeight="1" s="19"/>
    <row r="835" ht="15.75" customHeight="1" s="19"/>
    <row r="836" ht="15.75" customHeight="1" s="19"/>
    <row r="837" ht="15.75" customHeight="1" s="19"/>
    <row r="838" ht="15.75" customHeight="1" s="19"/>
    <row r="839" ht="15.75" customHeight="1" s="19"/>
    <row r="840" ht="15.75" customHeight="1" s="19"/>
    <row r="841" ht="15.75" customHeight="1" s="19"/>
    <row r="842" ht="15.75" customHeight="1" s="19"/>
    <row r="843" ht="15.75" customHeight="1" s="19"/>
    <row r="844" ht="15.75" customHeight="1" s="19"/>
    <row r="845" ht="15.75" customHeight="1" s="19"/>
    <row r="846" ht="15.75" customHeight="1" s="19"/>
    <row r="847" ht="15.75" customHeight="1" s="19"/>
    <row r="848" ht="15.75" customHeight="1" s="19"/>
    <row r="849" ht="15.75" customHeight="1" s="19"/>
    <row r="850" ht="15.75" customHeight="1" s="19"/>
    <row r="851" ht="15.75" customHeight="1" s="19"/>
    <row r="852" ht="15.75" customHeight="1" s="19"/>
    <row r="853" ht="15.75" customHeight="1" s="19"/>
    <row r="854" ht="15.75" customHeight="1" s="19"/>
    <row r="855" ht="15.75" customHeight="1" s="19"/>
    <row r="856" ht="15.75" customHeight="1" s="19"/>
    <row r="857" ht="15.75" customHeight="1" s="19"/>
    <row r="858" ht="15.75" customHeight="1" s="19"/>
    <row r="859" ht="15.75" customHeight="1" s="19"/>
    <row r="860" ht="15.75" customHeight="1" s="19"/>
    <row r="861" ht="15.75" customHeight="1" s="19"/>
    <row r="862" ht="15.75" customHeight="1" s="19"/>
    <row r="863" ht="15.75" customHeight="1" s="19"/>
    <row r="864" ht="15.75" customHeight="1" s="19"/>
    <row r="865" ht="15.75" customHeight="1" s="19"/>
    <row r="866" ht="15.75" customHeight="1" s="19"/>
    <row r="867" ht="15.75" customHeight="1" s="19"/>
    <row r="868" ht="15.75" customHeight="1" s="19"/>
    <row r="869" ht="15.75" customHeight="1" s="19"/>
    <row r="870" ht="15.75" customHeight="1" s="19"/>
    <row r="871" ht="15.75" customHeight="1" s="19"/>
    <row r="872" ht="15.75" customHeight="1" s="19"/>
    <row r="873" ht="15.75" customHeight="1" s="19"/>
    <row r="874" ht="15.75" customHeight="1" s="19"/>
    <row r="875" ht="15.75" customHeight="1" s="19"/>
    <row r="876" ht="15.75" customHeight="1" s="19"/>
    <row r="877" ht="15.75" customHeight="1" s="19"/>
    <row r="878" ht="15.75" customHeight="1" s="19"/>
    <row r="879" ht="15.75" customHeight="1" s="19"/>
    <row r="880" ht="15.75" customHeight="1" s="19"/>
    <row r="881" ht="15.75" customHeight="1" s="19"/>
    <row r="882" ht="15.75" customHeight="1" s="19"/>
    <row r="883" ht="15.75" customHeight="1" s="19"/>
    <row r="884" ht="15.75" customHeight="1" s="19"/>
    <row r="885" ht="15.75" customHeight="1" s="19"/>
    <row r="886" ht="15.75" customHeight="1" s="19"/>
    <row r="887" ht="15.75" customHeight="1" s="19"/>
    <row r="888" ht="15.75" customHeight="1" s="19"/>
    <row r="889" ht="15.75" customHeight="1" s="19"/>
    <row r="890" ht="15.75" customHeight="1" s="19"/>
    <row r="891" ht="15.75" customHeight="1" s="19"/>
    <row r="892" ht="15.75" customHeight="1" s="19"/>
    <row r="893" ht="15.75" customHeight="1" s="19"/>
    <row r="894" ht="15.75" customHeight="1" s="19"/>
    <row r="895" ht="15.75" customHeight="1" s="19"/>
    <row r="896" ht="15.75" customHeight="1" s="19"/>
    <row r="897" ht="15.75" customHeight="1" s="19"/>
    <row r="898" ht="15.75" customHeight="1" s="19"/>
    <row r="899" ht="15.75" customHeight="1" s="19"/>
    <row r="900" ht="15.75" customHeight="1" s="19"/>
    <row r="901" ht="15.75" customHeight="1" s="19"/>
    <row r="902" ht="15.75" customHeight="1" s="19"/>
    <row r="903" ht="15.75" customHeight="1" s="19"/>
    <row r="904" ht="15.75" customHeight="1" s="19"/>
    <row r="905" ht="15.75" customHeight="1" s="19"/>
    <row r="906" ht="15.75" customHeight="1" s="19"/>
    <row r="907" ht="15.75" customHeight="1" s="19"/>
    <row r="908" ht="15.75" customHeight="1" s="19"/>
    <row r="909" ht="15.75" customHeight="1" s="19"/>
    <row r="910" ht="15.75" customHeight="1" s="19"/>
    <row r="911" ht="15.75" customHeight="1" s="19"/>
    <row r="912" ht="15.75" customHeight="1" s="19"/>
    <row r="913" ht="15.75" customHeight="1" s="19"/>
    <row r="914" ht="15.75" customHeight="1" s="19"/>
    <row r="915" ht="15.75" customHeight="1" s="19"/>
    <row r="916" ht="15.75" customHeight="1" s="19"/>
    <row r="917" ht="15.75" customHeight="1" s="19"/>
    <row r="918" ht="15.75" customHeight="1" s="19"/>
    <row r="919" ht="15.75" customHeight="1" s="19"/>
    <row r="920" ht="15.75" customHeight="1" s="19"/>
    <row r="921" ht="15.75" customHeight="1" s="19"/>
    <row r="922" ht="15.75" customHeight="1" s="19"/>
    <row r="923" ht="15.75" customHeight="1" s="19"/>
    <row r="924" ht="15.75" customHeight="1" s="19"/>
    <row r="925" ht="15.75" customHeight="1" s="19"/>
    <row r="926" ht="15.75" customHeight="1" s="19"/>
    <row r="927" ht="15.75" customHeight="1" s="19"/>
    <row r="928" ht="15.75" customHeight="1" s="19"/>
    <row r="929" ht="15.75" customHeight="1" s="19"/>
    <row r="930" ht="15.75" customHeight="1" s="19"/>
    <row r="931" ht="15.75" customHeight="1" s="19"/>
    <row r="932" ht="15.75" customHeight="1" s="19"/>
    <row r="933" ht="15.75" customHeight="1" s="19"/>
    <row r="934" ht="15.75" customHeight="1" s="19"/>
    <row r="935" ht="15.75" customHeight="1" s="19"/>
    <row r="936" ht="15.75" customHeight="1" s="19"/>
    <row r="937" ht="15.75" customHeight="1" s="19"/>
    <row r="938" ht="15.75" customHeight="1" s="19"/>
    <row r="939" ht="15.75" customHeight="1" s="19"/>
    <row r="940" ht="15.75" customHeight="1" s="19"/>
    <row r="941" ht="15.75" customHeight="1" s="19"/>
    <row r="942" ht="15.75" customHeight="1" s="19"/>
    <row r="943" ht="15.75" customHeight="1" s="19"/>
    <row r="944" ht="15.75" customHeight="1" s="19"/>
    <row r="945" ht="15.75" customHeight="1" s="19"/>
    <row r="946" ht="15.75" customHeight="1" s="19"/>
    <row r="947" ht="15.75" customHeight="1" s="19"/>
    <row r="948" ht="15.75" customHeight="1" s="19"/>
    <row r="949" ht="15.75" customHeight="1" s="19"/>
    <row r="950" ht="15.75" customHeight="1" s="19"/>
    <row r="951" ht="15.75" customHeight="1" s="19"/>
    <row r="952" ht="15.75" customHeight="1" s="19"/>
    <row r="953" ht="15.75" customHeight="1" s="19"/>
    <row r="954" ht="15.75" customHeight="1" s="19"/>
    <row r="955" ht="15.75" customHeight="1" s="19"/>
    <row r="956" ht="15.75" customHeight="1" s="19"/>
    <row r="957" ht="15.75" customHeight="1" s="19"/>
    <row r="958" ht="15.75" customHeight="1" s="19"/>
    <row r="959" ht="15.75" customHeight="1" s="19"/>
    <row r="960" ht="15.75" customHeight="1" s="19"/>
    <row r="961" ht="15.75" customHeight="1" s="19"/>
    <row r="962" ht="15.75" customHeight="1" s="19"/>
    <row r="963" ht="15.75" customHeight="1" s="19"/>
    <row r="964" ht="15.75" customHeight="1" s="19"/>
    <row r="965" ht="15.75" customHeight="1" s="19"/>
    <row r="966" ht="15.75" customHeight="1" s="19"/>
    <row r="967" ht="15.75" customHeight="1" s="19"/>
    <row r="968" ht="15.75" customHeight="1" s="19"/>
    <row r="969" ht="15.75" customHeight="1" s="19"/>
    <row r="970" ht="15.75" customHeight="1" s="19"/>
    <row r="971" ht="15.75" customHeight="1" s="19"/>
    <row r="972" ht="15.75" customHeight="1" s="19"/>
    <row r="973" ht="15.75" customHeight="1" s="19"/>
    <row r="974" ht="15.75" customHeight="1" s="19"/>
    <row r="975" ht="15.75" customHeight="1" s="19"/>
    <row r="976" ht="15.75" customHeight="1" s="19"/>
    <row r="977" ht="15.75" customHeight="1" s="19"/>
    <row r="978" ht="15.75" customHeight="1" s="19"/>
    <row r="979" ht="15.75" customHeight="1" s="19"/>
    <row r="980" ht="15.75" customHeight="1" s="19"/>
    <row r="981" ht="15.75" customHeight="1" s="19"/>
    <row r="982" ht="15.75" customHeight="1" s="19"/>
    <row r="983" ht="15.75" customHeight="1" s="19"/>
    <row r="984" ht="15.75" customHeight="1" s="19"/>
    <row r="985" ht="15.75" customHeight="1" s="19"/>
    <row r="986" ht="15.75" customHeight="1" s="19"/>
    <row r="987" ht="15.75" customHeight="1" s="19"/>
    <row r="988" ht="15.75" customHeight="1" s="19"/>
    <row r="989" ht="15.75" customHeight="1" s="19"/>
    <row r="990" ht="15.75" customHeight="1" s="19"/>
    <row r="991" ht="15.75" customHeight="1" s="19"/>
    <row r="992" ht="15.75" customHeight="1" s="19"/>
    <row r="993" ht="15.75" customHeight="1" s="19"/>
    <row r="994" ht="15.75" customHeight="1" s="19"/>
    <row r="995" ht="15.75" customHeight="1" s="19"/>
    <row r="996" ht="15.75" customHeight="1" s="19"/>
    <row r="997" ht="15.75" customHeight="1" s="19"/>
    <row r="998" ht="15.75" customHeight="1" s="19"/>
    <row r="999" ht="15.75" customHeight="1" s="19"/>
    <row r="1000" ht="15.75" customHeight="1" s="19"/>
  </sheetData>
  <hyperlinks>
    <hyperlink xmlns:r="http://schemas.openxmlformats.org/officeDocument/2006/relationships" ref="B7" r:id="rId1"/>
  </hyperlink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K9"/>
  <sheetViews>
    <sheetView showGridLines="0" workbookViewId="0">
      <selection activeCell="A1" sqref="A1"/>
    </sheetView>
  </sheetViews>
  <sheetFormatPr baseColWidth="8" defaultColWidth="14.43" defaultRowHeight="15" customHeight="1"/>
  <cols>
    <col width="8" customWidth="1" style="19" min="1" max="1"/>
    <col width="30" customWidth="1" style="19" min="2" max="2"/>
    <col width="20" customWidth="1" style="19" min="3" max="3"/>
    <col width="15" customWidth="1" style="19" min="4" max="7"/>
    <col width="18" customWidth="1" style="19" min="8" max="8"/>
    <col width="15" customWidth="1" style="19" min="9" max="9"/>
    <col width="20" customWidth="1" style="19" min="10" max="10"/>
    <col width="22" customWidth="1" style="19" min="11" max="11"/>
    <col width="8.710000000000001" customWidth="1" style="19" min="12" max="26"/>
  </cols>
  <sheetData>
    <row r="1">
      <c r="A1" s="1" t="inlineStr">
        <is>
          <t>BẢNG TỔNG HỢP KẾT QUẢ VÀ THEO DÕI TIẾN ĐỘ (OCTOBER 2026 TEST)</t>
        </is>
      </c>
    </row>
    <row r="2">
      <c r="A2" s="2" t="inlineStr">
        <is>
          <t>Tự động cập nhật số câu đã làm, số lần đúng ngay Lần 1, đếm số cột sai và điểm hiệu suất (%) theo thời gian thực</t>
        </is>
      </c>
    </row>
    <row r="4">
      <c r="A4" s="3" t="inlineStr">
        <is>
          <t>STT</t>
        </is>
      </c>
      <c r="B4" s="3" t="inlineStr">
        <is>
          <t>Tên Module / Phân vùng</t>
        </is>
      </c>
      <c r="C4" s="3" t="inlineStr">
        <is>
          <t>Tên Tab trong Excel</t>
        </is>
      </c>
      <c r="D4" s="3" t="inlineStr">
        <is>
          <t>Tổng số câu</t>
        </is>
      </c>
      <c r="E4" s="3" t="inlineStr">
        <is>
          <t>Đã làm Lần 1</t>
        </is>
      </c>
      <c r="F4" s="3" t="inlineStr">
        <is>
          <t>Đúng ngay L1</t>
        </is>
      </c>
      <c r="G4" s="3" t="inlineStr">
        <is>
          <t>Đúng ở L2/L3</t>
        </is>
      </c>
      <c r="H4" s="3" t="inlineStr">
        <is>
          <t>Tổng số cột Sai</t>
        </is>
      </c>
      <c r="I4" s="3" t="inlineStr">
        <is>
          <t>Chưa đúng</t>
        </is>
      </c>
      <c r="J4" s="3" t="inlineStr">
        <is>
          <t>Tỷ lệ Đúng L1 (%)</t>
        </is>
      </c>
      <c r="K4" s="3" t="inlineStr">
        <is>
          <t>Điểm Hiệu suất TB (%)</t>
        </is>
      </c>
    </row>
    <row r="5">
      <c r="A5" s="7" t="n">
        <v>1</v>
      </c>
      <c r="B5" s="5" t="inlineStr">
        <is>
          <t>Reading &amp; Writing Module 1</t>
        </is>
      </c>
      <c r="C5" s="7" t="inlineStr">
        <is>
          <t>RW_Module1</t>
        </is>
      </c>
      <c r="D5" s="12">
        <f>COUNTA(RW_Module1!A5:A31)</f>
        <v/>
      </c>
      <c r="E5" s="12">
        <f>COUNTIF(RW_Module1!F5:F31, "&lt;&gt;")</f>
        <v/>
      </c>
      <c r="F5" s="12">
        <f>COUNTIF(RW_Module1!G5:G31, "✅ Đúng")</f>
        <v/>
      </c>
      <c r="G5" s="12">
        <f>COUNTIF(RW_Module1!M5:M31, "✅ Đúng ở L2") + COUNTIF(RW_Module1!M5:M31, "✅ Đúng ở L3")</f>
        <v/>
      </c>
      <c r="H5" s="12">
        <f>SUM(RW_Module1!L5:L31)</f>
        <v/>
      </c>
      <c r="I5" s="12">
        <f>D5 - F5 - G5</f>
        <v/>
      </c>
      <c r="J5" s="13">
        <f>IF(E5&gt;0, F5/E5, 0)</f>
        <v/>
      </c>
      <c r="K5" s="13">
        <f>IF(D5&gt;0, AVERAGE(RW_Module1!N5:N31), 0)</f>
        <v/>
      </c>
    </row>
    <row r="6">
      <c r="A6" s="7" t="n">
        <v>2</v>
      </c>
      <c r="B6" s="5" t="inlineStr">
        <is>
          <t>Reading &amp; Writing Module 2</t>
        </is>
      </c>
      <c r="C6" s="7" t="inlineStr">
        <is>
          <t>RW_Module2</t>
        </is>
      </c>
      <c r="D6" s="12">
        <f>COUNTA(RW_Module2!A5:A31)</f>
        <v/>
      </c>
      <c r="E6" s="12">
        <f>COUNTIF(RW_Module2!F5:F31, "&lt;&gt;")</f>
        <v/>
      </c>
      <c r="F6" s="12">
        <f>COUNTIF(RW_Module2!G5:G31, "✅ Đúng")</f>
        <v/>
      </c>
      <c r="G6" s="12">
        <f>COUNTIF(RW_Module2!M5:M31, "✅ Đúng ở L2") + COUNTIF(RW_Module2!M5:M31, "✅ Đúng ở L3")</f>
        <v/>
      </c>
      <c r="H6" s="12">
        <f>SUM(RW_Module2!L5:L31)</f>
        <v/>
      </c>
      <c r="I6" s="12">
        <f>D6 - F6 - G6</f>
        <v/>
      </c>
      <c r="J6" s="13">
        <f>IF(E6&gt;0, F6/E6, 0)</f>
        <v/>
      </c>
      <c r="K6" s="13">
        <f>IF(D6&gt;0, AVERAGE(RW_Module2!N5:N31), 0)</f>
        <v/>
      </c>
    </row>
    <row r="7">
      <c r="A7" s="7" t="n">
        <v>3</v>
      </c>
      <c r="B7" s="5" t="inlineStr">
        <is>
          <t>Math Module 1</t>
        </is>
      </c>
      <c r="C7" s="7" t="inlineStr">
        <is>
          <t>Math_Module1</t>
        </is>
      </c>
      <c r="D7" s="12">
        <f>COUNTA(Math_Module1!A5:A26)</f>
        <v/>
      </c>
      <c r="E7" s="12">
        <f>COUNTIF(Math_Module1!F5:F26, "&lt;&gt;")</f>
        <v/>
      </c>
      <c r="F7" s="12">
        <f>COUNTIF(Math_Module1!G5:G26, "✅ Đúng")</f>
        <v/>
      </c>
      <c r="G7" s="12">
        <f>COUNTIF(Math_Module1!M5:M26, "✅ Đúng ở L2") + COUNTIF(Math_Module1!M5:M26, "✅ Đúng ở L3")</f>
        <v/>
      </c>
      <c r="H7" s="12">
        <f>SUM(Math_Module1!L5:L26)</f>
        <v/>
      </c>
      <c r="I7" s="12">
        <f>D7 - F7 - G7</f>
        <v/>
      </c>
      <c r="J7" s="13">
        <f>IF(E7&gt;0, F7/E7, 0)</f>
        <v/>
      </c>
      <c r="K7" s="13">
        <f>IF(D7&gt;0, AVERAGE(Math_Module1!N5:N26), 0)</f>
        <v/>
      </c>
    </row>
    <row r="8">
      <c r="A8" s="7" t="n">
        <v>4</v>
      </c>
      <c r="B8" s="5" t="inlineStr">
        <is>
          <t>Math Module 2</t>
        </is>
      </c>
      <c r="C8" s="7" t="inlineStr">
        <is>
          <t>Math_Module2</t>
        </is>
      </c>
      <c r="D8" s="12">
        <f>COUNTA(Math_Module2!A5:A26)</f>
        <v/>
      </c>
      <c r="E8" s="12">
        <f>COUNTIF(Math_Module2!F5:F26, "&lt;&gt;")</f>
        <v/>
      </c>
      <c r="F8" s="12">
        <f>COUNTIF(Math_Module2!G5:G26, "✅ Đúng")</f>
        <v/>
      </c>
      <c r="G8" s="12">
        <f>COUNTIF(Math_Module2!M5:M26, "✅ Đúng ở L2") + COUNTIF(Math_Module2!M5:M26, "✅ Đúng ở L3")</f>
        <v/>
      </c>
      <c r="H8" s="12">
        <f>SUM(Math_Module2!L5:L26)</f>
        <v/>
      </c>
      <c r="I8" s="12">
        <f>D8 - F8 - G8</f>
        <v/>
      </c>
      <c r="J8" s="13">
        <f>IF(E8&gt;0, F8/E8, 0)</f>
        <v/>
      </c>
      <c r="K8" s="13">
        <f>IF(D8&gt;0, AVERAGE(Math_Module2!N5:N26), 0)</f>
        <v/>
      </c>
    </row>
    <row r="9">
      <c r="A9" s="15" t="n"/>
      <c r="B9" s="16" t="inlineStr">
        <is>
          <t>TỔNG CỘNG TOÀN BỘ ĐỀ THI</t>
        </is>
      </c>
      <c r="C9" s="15" t="inlineStr">
        <is>
          <t>---</t>
        </is>
      </c>
      <c r="D9" s="17">
        <f>SUM(D5:D8)</f>
        <v/>
      </c>
      <c r="E9" s="17">
        <f>SUM(E5:E8)</f>
        <v/>
      </c>
      <c r="F9" s="17">
        <f>SUM(F5:F8)</f>
        <v/>
      </c>
      <c r="G9" s="17">
        <f>SUM(G5:G8)</f>
        <v/>
      </c>
      <c r="H9" s="17">
        <f>SUM(H5:H8)</f>
        <v/>
      </c>
      <c r="I9" s="17">
        <f>SUM(I5:I8)</f>
        <v/>
      </c>
      <c r="J9" s="18">
        <f>IF(E9&gt;0, F9/E9, 0)</f>
        <v/>
      </c>
      <c r="K9" s="18">
        <f>IF(D9&gt;0, AVERAGE(K5:K8), 0)</f>
        <v/>
      </c>
    </row>
    <row r="21" ht="15.75" customHeight="1" s="19"/>
    <row r="22" ht="15.75" customHeight="1" s="19"/>
    <row r="23" ht="15.75" customHeight="1" s="19"/>
    <row r="24" ht="15.75" customHeight="1" s="19"/>
    <row r="25" ht="15.75" customHeight="1" s="19"/>
    <row r="26" ht="15.75" customHeight="1" s="19"/>
    <row r="27" ht="15.75" customHeight="1" s="19"/>
    <row r="28" ht="15.75" customHeight="1" s="19"/>
    <row r="29" ht="15.75" customHeight="1" s="19"/>
    <row r="30" ht="15.75" customHeight="1" s="19"/>
    <row r="31" ht="15.75" customHeight="1" s="19"/>
    <row r="32" ht="15.75" customHeight="1" s="19"/>
    <row r="33" ht="15.75" customHeight="1" s="19"/>
    <row r="34" ht="15.75" customHeight="1" s="19"/>
    <row r="35" ht="15.75" customHeight="1" s="19"/>
    <row r="36" ht="15.75" customHeight="1" s="19"/>
    <row r="37" ht="15.75" customHeight="1" s="19"/>
    <row r="38" ht="15.75" customHeight="1" s="19"/>
    <row r="39" ht="15.75" customHeight="1" s="19"/>
    <row r="40" ht="15.75" customHeight="1" s="19"/>
    <row r="41" ht="15.75" customHeight="1" s="19"/>
    <row r="42" ht="15.75" customHeight="1" s="19"/>
    <row r="43" ht="15.75" customHeight="1" s="19"/>
    <row r="44" ht="15.75" customHeight="1" s="19"/>
    <row r="45" ht="15.75" customHeight="1" s="19"/>
    <row r="46" ht="15.75" customHeight="1" s="19"/>
    <row r="47" ht="15.75" customHeight="1" s="19"/>
    <row r="48" ht="15.75" customHeight="1" s="19"/>
    <row r="49" ht="15.75" customHeight="1" s="19"/>
    <row r="50" ht="15.75" customHeight="1" s="19"/>
    <row r="51" ht="15.75" customHeight="1" s="19"/>
    <row r="52" ht="15.75" customHeight="1" s="19"/>
    <row r="53" ht="15.75" customHeight="1" s="19"/>
    <row r="54" ht="15.75" customHeight="1" s="19"/>
    <row r="55" ht="15.75" customHeight="1" s="19"/>
    <row r="56" ht="15.75" customHeight="1" s="19"/>
    <row r="57" ht="15.75" customHeight="1" s="19"/>
    <row r="58" ht="15.75" customHeight="1" s="19"/>
    <row r="59" ht="15.75" customHeight="1" s="19"/>
    <row r="60" ht="15.75" customHeight="1" s="19"/>
    <row r="61" ht="15.75" customHeight="1" s="19"/>
    <row r="62" ht="15.75" customHeight="1" s="19"/>
    <row r="63" ht="15.75" customHeight="1" s="19"/>
    <row r="64" ht="15.75" customHeight="1" s="19"/>
    <row r="65" ht="15.75" customHeight="1" s="19"/>
    <row r="66" ht="15.75" customHeight="1" s="19"/>
    <row r="67" ht="15.75" customHeight="1" s="19"/>
    <row r="68" ht="15.75" customHeight="1" s="19"/>
    <row r="69" ht="15.75" customHeight="1" s="19"/>
    <row r="70" ht="15.75" customHeight="1" s="19"/>
    <row r="71" ht="15.75" customHeight="1" s="19"/>
    <row r="72" ht="15.75" customHeight="1" s="19"/>
    <row r="73" ht="15.75" customHeight="1" s="19"/>
    <row r="74" ht="15.75" customHeight="1" s="19"/>
    <row r="75" ht="15.75" customHeight="1" s="19"/>
    <row r="76" ht="15.75" customHeight="1" s="19"/>
    <row r="77" ht="15.75" customHeight="1" s="19"/>
    <row r="78" ht="15.75" customHeight="1" s="19"/>
    <row r="79" ht="15.75" customHeight="1" s="19"/>
    <row r="80" ht="15.75" customHeight="1" s="19"/>
    <row r="81" ht="15.75" customHeight="1" s="19"/>
    <row r="82" ht="15.75" customHeight="1" s="19"/>
    <row r="83" ht="15.75" customHeight="1" s="19"/>
    <row r="84" ht="15.75" customHeight="1" s="19"/>
    <row r="85" ht="15.75" customHeight="1" s="19"/>
    <row r="86" ht="15.75" customHeight="1" s="19"/>
    <row r="87" ht="15.75" customHeight="1" s="19"/>
    <row r="88" ht="15.75" customHeight="1" s="19"/>
    <row r="89" ht="15.75" customHeight="1" s="19"/>
    <row r="90" ht="15.75" customHeight="1" s="19"/>
    <row r="91" ht="15.75" customHeight="1" s="19"/>
    <row r="92" ht="15.75" customHeight="1" s="19"/>
    <row r="93" ht="15.75" customHeight="1" s="19"/>
    <row r="94" ht="15.75" customHeight="1" s="19"/>
    <row r="95" ht="15.75" customHeight="1" s="19"/>
    <row r="96" ht="15.75" customHeight="1" s="19"/>
    <row r="97" ht="15.75" customHeight="1" s="19"/>
    <row r="98" ht="15.75" customHeight="1" s="19"/>
    <row r="99" ht="15.75" customHeight="1" s="19"/>
    <row r="100" ht="15.75" customHeight="1" s="19"/>
    <row r="101" ht="15.75" customHeight="1" s="19"/>
    <row r="102" ht="15.75" customHeight="1" s="19"/>
    <row r="103" ht="15.75" customHeight="1" s="19"/>
    <row r="104" ht="15.75" customHeight="1" s="19"/>
    <row r="105" ht="15.75" customHeight="1" s="19"/>
    <row r="106" ht="15.75" customHeight="1" s="19"/>
    <row r="107" ht="15.75" customHeight="1" s="19"/>
    <row r="108" ht="15.75" customHeight="1" s="19"/>
    <row r="109" ht="15.75" customHeight="1" s="19"/>
    <row r="110" ht="15.75" customHeight="1" s="19"/>
    <row r="111" ht="15.75" customHeight="1" s="19"/>
    <row r="112" ht="15.75" customHeight="1" s="19"/>
    <row r="113" ht="15.75" customHeight="1" s="19"/>
    <row r="114" ht="15.75" customHeight="1" s="19"/>
    <row r="115" ht="15.75" customHeight="1" s="19"/>
    <row r="116" ht="15.75" customHeight="1" s="19"/>
    <row r="117" ht="15.75" customHeight="1" s="19"/>
    <row r="118" ht="15.75" customHeight="1" s="19"/>
    <row r="119" ht="15.75" customHeight="1" s="19"/>
    <row r="120" ht="15.75" customHeight="1" s="19"/>
    <row r="121" ht="15.75" customHeight="1" s="19"/>
    <row r="122" ht="15.75" customHeight="1" s="19"/>
    <row r="123" ht="15.75" customHeight="1" s="19"/>
    <row r="124" ht="15.75" customHeight="1" s="19"/>
    <row r="125" ht="15.75" customHeight="1" s="19"/>
    <row r="126" ht="15.75" customHeight="1" s="19"/>
    <row r="127" ht="15.75" customHeight="1" s="19"/>
    <row r="128" ht="15.75" customHeight="1" s="19"/>
    <row r="129" ht="15.75" customHeight="1" s="19"/>
    <row r="130" ht="15.75" customHeight="1" s="19"/>
    <row r="131" ht="15.75" customHeight="1" s="19"/>
    <row r="132" ht="15.75" customHeight="1" s="19"/>
    <row r="133" ht="15.75" customHeight="1" s="19"/>
    <row r="134" ht="15.75" customHeight="1" s="19"/>
    <row r="135" ht="15.75" customHeight="1" s="19"/>
    <row r="136" ht="15.75" customHeight="1" s="19"/>
    <row r="137" ht="15.75" customHeight="1" s="19"/>
    <row r="138" ht="15.75" customHeight="1" s="19"/>
    <row r="139" ht="15.75" customHeight="1" s="19"/>
    <row r="140" ht="15.75" customHeight="1" s="19"/>
    <row r="141" ht="15.75" customHeight="1" s="19"/>
    <row r="142" ht="15.75" customHeight="1" s="19"/>
    <row r="143" ht="15.75" customHeight="1" s="19"/>
    <row r="144" ht="15.75" customHeight="1" s="19"/>
    <row r="145" ht="15.75" customHeight="1" s="19"/>
    <row r="146" ht="15.75" customHeight="1" s="19"/>
    <row r="147" ht="15.75" customHeight="1" s="19"/>
    <row r="148" ht="15.75" customHeight="1" s="19"/>
    <row r="149" ht="15.75" customHeight="1" s="19"/>
    <row r="150" ht="15.75" customHeight="1" s="19"/>
    <row r="151" ht="15.75" customHeight="1" s="19"/>
    <row r="152" ht="15.75" customHeight="1" s="19"/>
    <row r="153" ht="15.75" customHeight="1" s="19"/>
    <row r="154" ht="15.75" customHeight="1" s="19"/>
    <row r="155" ht="15.75" customHeight="1" s="19"/>
    <row r="156" ht="15.75" customHeight="1" s="19"/>
    <row r="157" ht="15.75" customHeight="1" s="19"/>
    <row r="158" ht="15.75" customHeight="1" s="19"/>
    <row r="159" ht="15.75" customHeight="1" s="19"/>
    <row r="160" ht="15.75" customHeight="1" s="19"/>
    <row r="161" ht="15.75" customHeight="1" s="19"/>
    <row r="162" ht="15.75" customHeight="1" s="19"/>
    <row r="163" ht="15.75" customHeight="1" s="19"/>
    <row r="164" ht="15.75" customHeight="1" s="19"/>
    <row r="165" ht="15.75" customHeight="1" s="19"/>
    <row r="166" ht="15.75" customHeight="1" s="19"/>
    <row r="167" ht="15.75" customHeight="1" s="19"/>
    <row r="168" ht="15.75" customHeight="1" s="19"/>
    <row r="169" ht="15.75" customHeight="1" s="19"/>
    <row r="170" ht="15.75" customHeight="1" s="19"/>
    <row r="171" ht="15.75" customHeight="1" s="19"/>
    <row r="172" ht="15.75" customHeight="1" s="19"/>
    <row r="173" ht="15.75" customHeight="1" s="19"/>
    <row r="174" ht="15.75" customHeight="1" s="19"/>
    <row r="175" ht="15.75" customHeight="1" s="19"/>
    <row r="176" ht="15.75" customHeight="1" s="19"/>
    <row r="177" ht="15.75" customHeight="1" s="19"/>
    <row r="178" ht="15.75" customHeight="1" s="19"/>
    <row r="179" ht="15.75" customHeight="1" s="19"/>
    <row r="180" ht="15.75" customHeight="1" s="19"/>
    <row r="181" ht="15.75" customHeight="1" s="19"/>
    <row r="182" ht="15.75" customHeight="1" s="19"/>
    <row r="183" ht="15.75" customHeight="1" s="19"/>
    <row r="184" ht="15.75" customHeight="1" s="19"/>
    <row r="185" ht="15.75" customHeight="1" s="19"/>
    <row r="186" ht="15.75" customHeight="1" s="19"/>
    <row r="187" ht="15.75" customHeight="1" s="19"/>
    <row r="188" ht="15.75" customHeight="1" s="19"/>
    <row r="189" ht="15.75" customHeight="1" s="19"/>
    <row r="190" ht="15.75" customHeight="1" s="19"/>
    <row r="191" ht="15.75" customHeight="1" s="19"/>
    <row r="192" ht="15.75" customHeight="1" s="19"/>
    <row r="193" ht="15.75" customHeight="1" s="19"/>
    <row r="194" ht="15.75" customHeight="1" s="19"/>
    <row r="195" ht="15.75" customHeight="1" s="19"/>
    <row r="196" ht="15.75" customHeight="1" s="19"/>
    <row r="197" ht="15.75" customHeight="1" s="19"/>
    <row r="198" ht="15.75" customHeight="1" s="19"/>
    <row r="199" ht="15.75" customHeight="1" s="19"/>
    <row r="200" ht="15.75" customHeight="1" s="19"/>
    <row r="201" ht="15.75" customHeight="1" s="19"/>
    <row r="202" ht="15.75" customHeight="1" s="19"/>
    <row r="203" ht="15.75" customHeight="1" s="19"/>
    <row r="204" ht="15.75" customHeight="1" s="19"/>
    <row r="205" ht="15.75" customHeight="1" s="19"/>
    <row r="206" ht="15.75" customHeight="1" s="19"/>
    <row r="207" ht="15.75" customHeight="1" s="19"/>
    <row r="208" ht="15.75" customHeight="1" s="19"/>
    <row r="209" ht="15.75" customHeight="1" s="19"/>
    <row r="210" ht="15.75" customHeight="1" s="19"/>
    <row r="211" ht="15.75" customHeight="1" s="19"/>
    <row r="212" ht="15.75" customHeight="1" s="19"/>
    <row r="213" ht="15.75" customHeight="1" s="19"/>
    <row r="214" ht="15.75" customHeight="1" s="19"/>
    <row r="215" ht="15.75" customHeight="1" s="19"/>
    <row r="216" ht="15.75" customHeight="1" s="19"/>
    <row r="217" ht="15.75" customHeight="1" s="19"/>
    <row r="218" ht="15.75" customHeight="1" s="19"/>
    <row r="219" ht="15.75" customHeight="1" s="19"/>
    <row r="220" ht="15.75" customHeight="1" s="19"/>
    <row r="221" ht="15.75" customHeight="1" s="19"/>
    <row r="222" ht="15.75" customHeight="1" s="19"/>
    <row r="223" ht="15.75" customHeight="1" s="19"/>
    <row r="224" ht="15.75" customHeight="1" s="19"/>
    <row r="225" ht="15.75" customHeight="1" s="19"/>
    <row r="226" ht="15.75" customHeight="1" s="19"/>
    <row r="227" ht="15.75" customHeight="1" s="19"/>
    <row r="228" ht="15.75" customHeight="1" s="19"/>
    <row r="229" ht="15.75" customHeight="1" s="19"/>
    <row r="230" ht="15.75" customHeight="1" s="19"/>
    <row r="231" ht="15.75" customHeight="1" s="19"/>
    <row r="232" ht="15.75" customHeight="1" s="19"/>
    <row r="233" ht="15.75" customHeight="1" s="19"/>
    <row r="234" ht="15.75" customHeight="1" s="19"/>
    <row r="235" ht="15.75" customHeight="1" s="19"/>
    <row r="236" ht="15.75" customHeight="1" s="19"/>
    <row r="237" ht="15.75" customHeight="1" s="19"/>
    <row r="238" ht="15.75" customHeight="1" s="19"/>
    <row r="239" ht="15.75" customHeight="1" s="19"/>
    <row r="240" ht="15.75" customHeight="1" s="19"/>
    <row r="241" ht="15.75" customHeight="1" s="19"/>
    <row r="242" ht="15.75" customHeight="1" s="19"/>
    <row r="243" ht="15.75" customHeight="1" s="19"/>
    <row r="244" ht="15.75" customHeight="1" s="19"/>
    <row r="245" ht="15.75" customHeight="1" s="19"/>
    <row r="246" ht="15.75" customHeight="1" s="19"/>
    <row r="247" ht="15.75" customHeight="1" s="19"/>
    <row r="248" ht="15.75" customHeight="1" s="19"/>
    <row r="249" ht="15.75" customHeight="1" s="19"/>
    <row r="250" ht="15.75" customHeight="1" s="19"/>
    <row r="251" ht="15.75" customHeight="1" s="19"/>
    <row r="252" ht="15.75" customHeight="1" s="19"/>
    <row r="253" ht="15.75" customHeight="1" s="19"/>
    <row r="254" ht="15.75" customHeight="1" s="19"/>
    <row r="255" ht="15.75" customHeight="1" s="19"/>
    <row r="256" ht="15.75" customHeight="1" s="19"/>
    <row r="257" ht="15.75" customHeight="1" s="19"/>
    <row r="258" ht="15.75" customHeight="1" s="19"/>
    <row r="259" ht="15.75" customHeight="1" s="19"/>
    <row r="260" ht="15.75" customHeight="1" s="19"/>
    <row r="261" ht="15.75" customHeight="1" s="19"/>
    <row r="262" ht="15.75" customHeight="1" s="19"/>
    <row r="263" ht="15.75" customHeight="1" s="19"/>
    <row r="264" ht="15.75" customHeight="1" s="19"/>
    <row r="265" ht="15.75" customHeight="1" s="19"/>
    <row r="266" ht="15.75" customHeight="1" s="19"/>
    <row r="267" ht="15.75" customHeight="1" s="19"/>
    <row r="268" ht="15.75" customHeight="1" s="19"/>
    <row r="269" ht="15.75" customHeight="1" s="19"/>
    <row r="270" ht="15.75" customHeight="1" s="19"/>
    <row r="271" ht="15.75" customHeight="1" s="19"/>
    <row r="272" ht="15.75" customHeight="1" s="19"/>
    <row r="273" ht="15.75" customHeight="1" s="19"/>
    <row r="274" ht="15.75" customHeight="1" s="19"/>
    <row r="275" ht="15.75" customHeight="1" s="19"/>
    <row r="276" ht="15.75" customHeight="1" s="19"/>
    <row r="277" ht="15.75" customHeight="1" s="19"/>
    <row r="278" ht="15.75" customHeight="1" s="19"/>
    <row r="279" ht="15.75" customHeight="1" s="19"/>
    <row r="280" ht="15.75" customHeight="1" s="19"/>
    <row r="281" ht="15.75" customHeight="1" s="19"/>
    <row r="282" ht="15.75" customHeight="1" s="19"/>
    <row r="283" ht="15.75" customHeight="1" s="19"/>
    <row r="284" ht="15.75" customHeight="1" s="19"/>
    <row r="285" ht="15.75" customHeight="1" s="19"/>
    <row r="286" ht="15.75" customHeight="1" s="19"/>
    <row r="287" ht="15.75" customHeight="1" s="19"/>
    <row r="288" ht="15.75" customHeight="1" s="19"/>
    <row r="289" ht="15.75" customHeight="1" s="19"/>
    <row r="290" ht="15.75" customHeight="1" s="19"/>
    <row r="291" ht="15.75" customHeight="1" s="19"/>
    <row r="292" ht="15.75" customHeight="1" s="19"/>
    <row r="293" ht="15.75" customHeight="1" s="19"/>
    <row r="294" ht="15.75" customHeight="1" s="19"/>
    <row r="295" ht="15.75" customHeight="1" s="19"/>
    <row r="296" ht="15.75" customHeight="1" s="19"/>
    <row r="297" ht="15.75" customHeight="1" s="19"/>
    <row r="298" ht="15.75" customHeight="1" s="19"/>
    <row r="299" ht="15.75" customHeight="1" s="19"/>
    <row r="300" ht="15.75" customHeight="1" s="19"/>
    <row r="301" ht="15.75" customHeight="1" s="19"/>
    <row r="302" ht="15.75" customHeight="1" s="19"/>
    <row r="303" ht="15.75" customHeight="1" s="19"/>
    <row r="304" ht="15.75" customHeight="1" s="19"/>
    <row r="305" ht="15.75" customHeight="1" s="19"/>
    <row r="306" ht="15.75" customHeight="1" s="19"/>
    <row r="307" ht="15.75" customHeight="1" s="19"/>
    <row r="308" ht="15.75" customHeight="1" s="19"/>
    <row r="309" ht="15.75" customHeight="1" s="19"/>
    <row r="310" ht="15.75" customHeight="1" s="19"/>
    <row r="311" ht="15.75" customHeight="1" s="19"/>
    <row r="312" ht="15.75" customHeight="1" s="19"/>
    <row r="313" ht="15.75" customHeight="1" s="19"/>
    <row r="314" ht="15.75" customHeight="1" s="19"/>
    <row r="315" ht="15.75" customHeight="1" s="19"/>
    <row r="316" ht="15.75" customHeight="1" s="19"/>
    <row r="317" ht="15.75" customHeight="1" s="19"/>
    <row r="318" ht="15.75" customHeight="1" s="19"/>
    <row r="319" ht="15.75" customHeight="1" s="19"/>
    <row r="320" ht="15.75" customHeight="1" s="19"/>
    <row r="321" ht="15.75" customHeight="1" s="19"/>
    <row r="322" ht="15.75" customHeight="1" s="19"/>
    <row r="323" ht="15.75" customHeight="1" s="19"/>
    <row r="324" ht="15.75" customHeight="1" s="19"/>
    <row r="325" ht="15.75" customHeight="1" s="19"/>
    <row r="326" ht="15.75" customHeight="1" s="19"/>
    <row r="327" ht="15.75" customHeight="1" s="19"/>
    <row r="328" ht="15.75" customHeight="1" s="19"/>
    <row r="329" ht="15.75" customHeight="1" s="19"/>
    <row r="330" ht="15.75" customHeight="1" s="19"/>
    <row r="331" ht="15.75" customHeight="1" s="19"/>
    <row r="332" ht="15.75" customHeight="1" s="19"/>
    <row r="333" ht="15.75" customHeight="1" s="19"/>
    <row r="334" ht="15.75" customHeight="1" s="19"/>
    <row r="335" ht="15.75" customHeight="1" s="19"/>
    <row r="336" ht="15.75" customHeight="1" s="19"/>
    <row r="337" ht="15.75" customHeight="1" s="19"/>
    <row r="338" ht="15.75" customHeight="1" s="19"/>
    <row r="339" ht="15.75" customHeight="1" s="19"/>
    <row r="340" ht="15.75" customHeight="1" s="19"/>
    <row r="341" ht="15.75" customHeight="1" s="19"/>
    <row r="342" ht="15.75" customHeight="1" s="19"/>
    <row r="343" ht="15.75" customHeight="1" s="19"/>
    <row r="344" ht="15.75" customHeight="1" s="19"/>
    <row r="345" ht="15.75" customHeight="1" s="19"/>
    <row r="346" ht="15.75" customHeight="1" s="19"/>
    <row r="347" ht="15.75" customHeight="1" s="19"/>
    <row r="348" ht="15.75" customHeight="1" s="19"/>
    <row r="349" ht="15.75" customHeight="1" s="19"/>
    <row r="350" ht="15.75" customHeight="1" s="19"/>
    <row r="351" ht="15.75" customHeight="1" s="19"/>
    <row r="352" ht="15.75" customHeight="1" s="19"/>
    <row r="353" ht="15.75" customHeight="1" s="19"/>
    <row r="354" ht="15.75" customHeight="1" s="19"/>
    <row r="355" ht="15.75" customHeight="1" s="19"/>
    <row r="356" ht="15.75" customHeight="1" s="19"/>
    <row r="357" ht="15.75" customHeight="1" s="19"/>
    <row r="358" ht="15.75" customHeight="1" s="19"/>
    <row r="359" ht="15.75" customHeight="1" s="19"/>
    <row r="360" ht="15.75" customHeight="1" s="19"/>
    <row r="361" ht="15.75" customHeight="1" s="19"/>
    <row r="362" ht="15.75" customHeight="1" s="19"/>
    <row r="363" ht="15.75" customHeight="1" s="19"/>
    <row r="364" ht="15.75" customHeight="1" s="19"/>
    <row r="365" ht="15.75" customHeight="1" s="19"/>
    <row r="366" ht="15.75" customHeight="1" s="19"/>
    <row r="367" ht="15.75" customHeight="1" s="19"/>
    <row r="368" ht="15.75" customHeight="1" s="19"/>
    <row r="369" ht="15.75" customHeight="1" s="19"/>
    <row r="370" ht="15.75" customHeight="1" s="19"/>
    <row r="371" ht="15.75" customHeight="1" s="19"/>
    <row r="372" ht="15.75" customHeight="1" s="19"/>
    <row r="373" ht="15.75" customHeight="1" s="19"/>
    <row r="374" ht="15.75" customHeight="1" s="19"/>
    <row r="375" ht="15.75" customHeight="1" s="19"/>
    <row r="376" ht="15.75" customHeight="1" s="19"/>
    <row r="377" ht="15.75" customHeight="1" s="19"/>
    <row r="378" ht="15.75" customHeight="1" s="19"/>
    <row r="379" ht="15.75" customHeight="1" s="19"/>
    <row r="380" ht="15.75" customHeight="1" s="19"/>
    <row r="381" ht="15.75" customHeight="1" s="19"/>
    <row r="382" ht="15.75" customHeight="1" s="19"/>
    <row r="383" ht="15.75" customHeight="1" s="19"/>
    <row r="384" ht="15.75" customHeight="1" s="19"/>
    <row r="385" ht="15.75" customHeight="1" s="19"/>
    <row r="386" ht="15.75" customHeight="1" s="19"/>
    <row r="387" ht="15.75" customHeight="1" s="19"/>
    <row r="388" ht="15.75" customHeight="1" s="19"/>
    <row r="389" ht="15.75" customHeight="1" s="19"/>
    <row r="390" ht="15.75" customHeight="1" s="19"/>
    <row r="391" ht="15.75" customHeight="1" s="19"/>
    <row r="392" ht="15.75" customHeight="1" s="19"/>
    <row r="393" ht="15.75" customHeight="1" s="19"/>
    <row r="394" ht="15.75" customHeight="1" s="19"/>
    <row r="395" ht="15.75" customHeight="1" s="19"/>
    <row r="396" ht="15.75" customHeight="1" s="19"/>
    <row r="397" ht="15.75" customHeight="1" s="19"/>
    <row r="398" ht="15.75" customHeight="1" s="19"/>
    <row r="399" ht="15.75" customHeight="1" s="19"/>
    <row r="400" ht="15.75" customHeight="1" s="19"/>
    <row r="401" ht="15.75" customHeight="1" s="19"/>
    <row r="402" ht="15.75" customHeight="1" s="19"/>
    <row r="403" ht="15.75" customHeight="1" s="19"/>
    <row r="404" ht="15.75" customHeight="1" s="19"/>
    <row r="405" ht="15.75" customHeight="1" s="19"/>
    <row r="406" ht="15.75" customHeight="1" s="19"/>
    <row r="407" ht="15.75" customHeight="1" s="19"/>
    <row r="408" ht="15.75" customHeight="1" s="19"/>
    <row r="409" ht="15.75" customHeight="1" s="19"/>
    <row r="410" ht="15.75" customHeight="1" s="19"/>
    <row r="411" ht="15.75" customHeight="1" s="19"/>
    <row r="412" ht="15.75" customHeight="1" s="19"/>
    <row r="413" ht="15.75" customHeight="1" s="19"/>
    <row r="414" ht="15.75" customHeight="1" s="19"/>
    <row r="415" ht="15.75" customHeight="1" s="19"/>
    <row r="416" ht="15.75" customHeight="1" s="19"/>
    <row r="417" ht="15.75" customHeight="1" s="19"/>
    <row r="418" ht="15.75" customHeight="1" s="19"/>
    <row r="419" ht="15.75" customHeight="1" s="19"/>
    <row r="420" ht="15.75" customHeight="1" s="19"/>
    <row r="421" ht="15.75" customHeight="1" s="19"/>
    <row r="422" ht="15.75" customHeight="1" s="19"/>
    <row r="423" ht="15.75" customHeight="1" s="19"/>
    <row r="424" ht="15.75" customHeight="1" s="19"/>
    <row r="425" ht="15.75" customHeight="1" s="19"/>
    <row r="426" ht="15.75" customHeight="1" s="19"/>
    <row r="427" ht="15.75" customHeight="1" s="19"/>
    <row r="428" ht="15.75" customHeight="1" s="19"/>
    <row r="429" ht="15.75" customHeight="1" s="19"/>
    <row r="430" ht="15.75" customHeight="1" s="19"/>
    <row r="431" ht="15.75" customHeight="1" s="19"/>
    <row r="432" ht="15.75" customHeight="1" s="19"/>
    <row r="433" ht="15.75" customHeight="1" s="19"/>
    <row r="434" ht="15.75" customHeight="1" s="19"/>
    <row r="435" ht="15.75" customHeight="1" s="19"/>
    <row r="436" ht="15.75" customHeight="1" s="19"/>
    <row r="437" ht="15.75" customHeight="1" s="19"/>
    <row r="438" ht="15.75" customHeight="1" s="19"/>
    <row r="439" ht="15.75" customHeight="1" s="19"/>
    <row r="440" ht="15.75" customHeight="1" s="19"/>
    <row r="441" ht="15.75" customHeight="1" s="19"/>
    <row r="442" ht="15.75" customHeight="1" s="19"/>
    <row r="443" ht="15.75" customHeight="1" s="19"/>
    <row r="444" ht="15.75" customHeight="1" s="19"/>
    <row r="445" ht="15.75" customHeight="1" s="19"/>
    <row r="446" ht="15.75" customHeight="1" s="19"/>
    <row r="447" ht="15.75" customHeight="1" s="19"/>
    <row r="448" ht="15.75" customHeight="1" s="19"/>
    <row r="449" ht="15.75" customHeight="1" s="19"/>
    <row r="450" ht="15.75" customHeight="1" s="19"/>
    <row r="451" ht="15.75" customHeight="1" s="19"/>
    <row r="452" ht="15.75" customHeight="1" s="19"/>
    <row r="453" ht="15.75" customHeight="1" s="19"/>
    <row r="454" ht="15.75" customHeight="1" s="19"/>
    <row r="455" ht="15.75" customHeight="1" s="19"/>
    <row r="456" ht="15.75" customHeight="1" s="19"/>
    <row r="457" ht="15.75" customHeight="1" s="19"/>
    <row r="458" ht="15.75" customHeight="1" s="19"/>
    <row r="459" ht="15.75" customHeight="1" s="19"/>
    <row r="460" ht="15.75" customHeight="1" s="19"/>
    <row r="461" ht="15.75" customHeight="1" s="19"/>
    <row r="462" ht="15.75" customHeight="1" s="19"/>
    <row r="463" ht="15.75" customHeight="1" s="19"/>
    <row r="464" ht="15.75" customHeight="1" s="19"/>
    <row r="465" ht="15.75" customHeight="1" s="19"/>
    <row r="466" ht="15.75" customHeight="1" s="19"/>
    <row r="467" ht="15.75" customHeight="1" s="19"/>
    <row r="468" ht="15.75" customHeight="1" s="19"/>
    <row r="469" ht="15.75" customHeight="1" s="19"/>
    <row r="470" ht="15.75" customHeight="1" s="19"/>
    <row r="471" ht="15.75" customHeight="1" s="19"/>
    <row r="472" ht="15.75" customHeight="1" s="19"/>
    <row r="473" ht="15.75" customHeight="1" s="19"/>
    <row r="474" ht="15.75" customHeight="1" s="19"/>
    <row r="475" ht="15.75" customHeight="1" s="19"/>
    <row r="476" ht="15.75" customHeight="1" s="19"/>
    <row r="477" ht="15.75" customHeight="1" s="19"/>
    <row r="478" ht="15.75" customHeight="1" s="19"/>
    <row r="479" ht="15.75" customHeight="1" s="19"/>
    <row r="480" ht="15.75" customHeight="1" s="19"/>
    <row r="481" ht="15.75" customHeight="1" s="19"/>
    <row r="482" ht="15.75" customHeight="1" s="19"/>
    <row r="483" ht="15.75" customHeight="1" s="19"/>
    <row r="484" ht="15.75" customHeight="1" s="19"/>
    <row r="485" ht="15.75" customHeight="1" s="19"/>
    <row r="486" ht="15.75" customHeight="1" s="19"/>
    <row r="487" ht="15.75" customHeight="1" s="19"/>
    <row r="488" ht="15.75" customHeight="1" s="19"/>
    <row r="489" ht="15.75" customHeight="1" s="19"/>
    <row r="490" ht="15.75" customHeight="1" s="19"/>
    <row r="491" ht="15.75" customHeight="1" s="19"/>
    <row r="492" ht="15.75" customHeight="1" s="19"/>
    <row r="493" ht="15.75" customHeight="1" s="19"/>
    <row r="494" ht="15.75" customHeight="1" s="19"/>
    <row r="495" ht="15.75" customHeight="1" s="19"/>
    <row r="496" ht="15.75" customHeight="1" s="19"/>
    <row r="497" ht="15.75" customHeight="1" s="19"/>
    <row r="498" ht="15.75" customHeight="1" s="19"/>
    <row r="499" ht="15.75" customHeight="1" s="19"/>
    <row r="500" ht="15.75" customHeight="1" s="19"/>
    <row r="501" ht="15.75" customHeight="1" s="19"/>
    <row r="502" ht="15.75" customHeight="1" s="19"/>
    <row r="503" ht="15.75" customHeight="1" s="19"/>
    <row r="504" ht="15.75" customHeight="1" s="19"/>
    <row r="505" ht="15.75" customHeight="1" s="19"/>
    <row r="506" ht="15.75" customHeight="1" s="19"/>
    <row r="507" ht="15.75" customHeight="1" s="19"/>
    <row r="508" ht="15.75" customHeight="1" s="19"/>
    <row r="509" ht="15.75" customHeight="1" s="19"/>
    <row r="510" ht="15.75" customHeight="1" s="19"/>
    <row r="511" ht="15.75" customHeight="1" s="19"/>
    <row r="512" ht="15.75" customHeight="1" s="19"/>
    <row r="513" ht="15.75" customHeight="1" s="19"/>
    <row r="514" ht="15.75" customHeight="1" s="19"/>
    <row r="515" ht="15.75" customHeight="1" s="19"/>
    <row r="516" ht="15.75" customHeight="1" s="19"/>
    <row r="517" ht="15.75" customHeight="1" s="19"/>
    <row r="518" ht="15.75" customHeight="1" s="19"/>
    <row r="519" ht="15.75" customHeight="1" s="19"/>
    <row r="520" ht="15.75" customHeight="1" s="19"/>
    <row r="521" ht="15.75" customHeight="1" s="19"/>
    <row r="522" ht="15.75" customHeight="1" s="19"/>
    <row r="523" ht="15.75" customHeight="1" s="19"/>
    <row r="524" ht="15.75" customHeight="1" s="19"/>
    <row r="525" ht="15.75" customHeight="1" s="19"/>
    <row r="526" ht="15.75" customHeight="1" s="19"/>
    <row r="527" ht="15.75" customHeight="1" s="19"/>
    <row r="528" ht="15.75" customHeight="1" s="19"/>
    <row r="529" ht="15.75" customHeight="1" s="19"/>
    <row r="530" ht="15.75" customHeight="1" s="19"/>
    <row r="531" ht="15.75" customHeight="1" s="19"/>
    <row r="532" ht="15.75" customHeight="1" s="19"/>
    <row r="533" ht="15.75" customHeight="1" s="19"/>
    <row r="534" ht="15.75" customHeight="1" s="19"/>
    <row r="535" ht="15.75" customHeight="1" s="19"/>
    <row r="536" ht="15.75" customHeight="1" s="19"/>
    <row r="537" ht="15.75" customHeight="1" s="19"/>
    <row r="538" ht="15.75" customHeight="1" s="19"/>
    <row r="539" ht="15.75" customHeight="1" s="19"/>
    <row r="540" ht="15.75" customHeight="1" s="19"/>
    <row r="541" ht="15.75" customHeight="1" s="19"/>
    <row r="542" ht="15.75" customHeight="1" s="19"/>
    <row r="543" ht="15.75" customHeight="1" s="19"/>
    <row r="544" ht="15.75" customHeight="1" s="19"/>
    <row r="545" ht="15.75" customHeight="1" s="19"/>
    <row r="546" ht="15.75" customHeight="1" s="19"/>
    <row r="547" ht="15.75" customHeight="1" s="19"/>
    <row r="548" ht="15.75" customHeight="1" s="19"/>
    <row r="549" ht="15.75" customHeight="1" s="19"/>
    <row r="550" ht="15.75" customHeight="1" s="19"/>
    <row r="551" ht="15.75" customHeight="1" s="19"/>
    <row r="552" ht="15.75" customHeight="1" s="19"/>
    <row r="553" ht="15.75" customHeight="1" s="19"/>
    <row r="554" ht="15.75" customHeight="1" s="19"/>
    <row r="555" ht="15.75" customHeight="1" s="19"/>
    <row r="556" ht="15.75" customHeight="1" s="19"/>
    <row r="557" ht="15.75" customHeight="1" s="19"/>
    <row r="558" ht="15.75" customHeight="1" s="19"/>
    <row r="559" ht="15.75" customHeight="1" s="19"/>
    <row r="560" ht="15.75" customHeight="1" s="19"/>
    <row r="561" ht="15.75" customHeight="1" s="19"/>
    <row r="562" ht="15.75" customHeight="1" s="19"/>
    <row r="563" ht="15.75" customHeight="1" s="19"/>
    <row r="564" ht="15.75" customHeight="1" s="19"/>
    <row r="565" ht="15.75" customHeight="1" s="19"/>
    <row r="566" ht="15.75" customHeight="1" s="19"/>
    <row r="567" ht="15.75" customHeight="1" s="19"/>
    <row r="568" ht="15.75" customHeight="1" s="19"/>
    <row r="569" ht="15.75" customHeight="1" s="19"/>
    <row r="570" ht="15.75" customHeight="1" s="19"/>
    <row r="571" ht="15.75" customHeight="1" s="19"/>
    <row r="572" ht="15.75" customHeight="1" s="19"/>
    <row r="573" ht="15.75" customHeight="1" s="19"/>
    <row r="574" ht="15.75" customHeight="1" s="19"/>
    <row r="575" ht="15.75" customHeight="1" s="19"/>
    <row r="576" ht="15.75" customHeight="1" s="19"/>
    <row r="577" ht="15.75" customHeight="1" s="19"/>
    <row r="578" ht="15.75" customHeight="1" s="19"/>
    <row r="579" ht="15.75" customHeight="1" s="19"/>
    <row r="580" ht="15.75" customHeight="1" s="19"/>
    <row r="581" ht="15.75" customHeight="1" s="19"/>
    <row r="582" ht="15.75" customHeight="1" s="19"/>
    <row r="583" ht="15.75" customHeight="1" s="19"/>
    <row r="584" ht="15.75" customHeight="1" s="19"/>
    <row r="585" ht="15.75" customHeight="1" s="19"/>
    <row r="586" ht="15.75" customHeight="1" s="19"/>
    <row r="587" ht="15.75" customHeight="1" s="19"/>
    <row r="588" ht="15.75" customHeight="1" s="19"/>
    <row r="589" ht="15.75" customHeight="1" s="19"/>
    <row r="590" ht="15.75" customHeight="1" s="19"/>
    <row r="591" ht="15.75" customHeight="1" s="19"/>
    <row r="592" ht="15.75" customHeight="1" s="19"/>
    <row r="593" ht="15.75" customHeight="1" s="19"/>
    <row r="594" ht="15.75" customHeight="1" s="19"/>
    <row r="595" ht="15.75" customHeight="1" s="19"/>
    <row r="596" ht="15.75" customHeight="1" s="19"/>
    <row r="597" ht="15.75" customHeight="1" s="19"/>
    <row r="598" ht="15.75" customHeight="1" s="19"/>
    <row r="599" ht="15.75" customHeight="1" s="19"/>
    <row r="600" ht="15.75" customHeight="1" s="19"/>
    <row r="601" ht="15.75" customHeight="1" s="19"/>
    <row r="602" ht="15.75" customHeight="1" s="19"/>
    <row r="603" ht="15.75" customHeight="1" s="19"/>
    <row r="604" ht="15.75" customHeight="1" s="19"/>
    <row r="605" ht="15.75" customHeight="1" s="19"/>
    <row r="606" ht="15.75" customHeight="1" s="19"/>
    <row r="607" ht="15.75" customHeight="1" s="19"/>
    <row r="608" ht="15.75" customHeight="1" s="19"/>
    <row r="609" ht="15.75" customHeight="1" s="19"/>
    <row r="610" ht="15.75" customHeight="1" s="19"/>
    <row r="611" ht="15.75" customHeight="1" s="19"/>
    <row r="612" ht="15.75" customHeight="1" s="19"/>
    <row r="613" ht="15.75" customHeight="1" s="19"/>
    <row r="614" ht="15.75" customHeight="1" s="19"/>
    <row r="615" ht="15.75" customHeight="1" s="19"/>
    <row r="616" ht="15.75" customHeight="1" s="19"/>
    <row r="617" ht="15.75" customHeight="1" s="19"/>
    <row r="618" ht="15.75" customHeight="1" s="19"/>
    <row r="619" ht="15.75" customHeight="1" s="19"/>
    <row r="620" ht="15.75" customHeight="1" s="19"/>
    <row r="621" ht="15.75" customHeight="1" s="19"/>
    <row r="622" ht="15.75" customHeight="1" s="19"/>
    <row r="623" ht="15.75" customHeight="1" s="19"/>
    <row r="624" ht="15.75" customHeight="1" s="19"/>
    <row r="625" ht="15.75" customHeight="1" s="19"/>
    <row r="626" ht="15.75" customHeight="1" s="19"/>
    <row r="627" ht="15.75" customHeight="1" s="19"/>
    <row r="628" ht="15.75" customHeight="1" s="19"/>
    <row r="629" ht="15.75" customHeight="1" s="19"/>
    <row r="630" ht="15.75" customHeight="1" s="19"/>
    <row r="631" ht="15.75" customHeight="1" s="19"/>
    <row r="632" ht="15.75" customHeight="1" s="19"/>
    <row r="633" ht="15.75" customHeight="1" s="19"/>
    <row r="634" ht="15.75" customHeight="1" s="19"/>
    <row r="635" ht="15.75" customHeight="1" s="19"/>
    <row r="636" ht="15.75" customHeight="1" s="19"/>
    <row r="637" ht="15.75" customHeight="1" s="19"/>
    <row r="638" ht="15.75" customHeight="1" s="19"/>
    <row r="639" ht="15.75" customHeight="1" s="19"/>
    <row r="640" ht="15.75" customHeight="1" s="19"/>
    <row r="641" ht="15.75" customHeight="1" s="19"/>
    <row r="642" ht="15.75" customHeight="1" s="19"/>
    <row r="643" ht="15.75" customHeight="1" s="19"/>
    <row r="644" ht="15.75" customHeight="1" s="19"/>
    <row r="645" ht="15.75" customHeight="1" s="19"/>
    <row r="646" ht="15.75" customHeight="1" s="19"/>
    <row r="647" ht="15.75" customHeight="1" s="19"/>
    <row r="648" ht="15.75" customHeight="1" s="19"/>
    <row r="649" ht="15.75" customHeight="1" s="19"/>
    <row r="650" ht="15.75" customHeight="1" s="19"/>
    <row r="651" ht="15.75" customHeight="1" s="19"/>
    <row r="652" ht="15.75" customHeight="1" s="19"/>
    <row r="653" ht="15.75" customHeight="1" s="19"/>
    <row r="654" ht="15.75" customHeight="1" s="19"/>
    <row r="655" ht="15.75" customHeight="1" s="19"/>
    <row r="656" ht="15.75" customHeight="1" s="19"/>
    <row r="657" ht="15.75" customHeight="1" s="19"/>
    <row r="658" ht="15.75" customHeight="1" s="19"/>
    <row r="659" ht="15.75" customHeight="1" s="19"/>
    <row r="660" ht="15.75" customHeight="1" s="19"/>
    <row r="661" ht="15.75" customHeight="1" s="19"/>
    <row r="662" ht="15.75" customHeight="1" s="19"/>
    <row r="663" ht="15.75" customHeight="1" s="19"/>
    <row r="664" ht="15.75" customHeight="1" s="19"/>
    <row r="665" ht="15.75" customHeight="1" s="19"/>
    <row r="666" ht="15.75" customHeight="1" s="19"/>
    <row r="667" ht="15.75" customHeight="1" s="19"/>
    <row r="668" ht="15.75" customHeight="1" s="19"/>
    <row r="669" ht="15.75" customHeight="1" s="19"/>
    <row r="670" ht="15.75" customHeight="1" s="19"/>
    <row r="671" ht="15.75" customHeight="1" s="19"/>
    <row r="672" ht="15.75" customHeight="1" s="19"/>
    <row r="673" ht="15.75" customHeight="1" s="19"/>
    <row r="674" ht="15.75" customHeight="1" s="19"/>
    <row r="675" ht="15.75" customHeight="1" s="19"/>
    <row r="676" ht="15.75" customHeight="1" s="19"/>
    <row r="677" ht="15.75" customHeight="1" s="19"/>
    <row r="678" ht="15.75" customHeight="1" s="19"/>
    <row r="679" ht="15.75" customHeight="1" s="19"/>
    <row r="680" ht="15.75" customHeight="1" s="19"/>
    <row r="681" ht="15.75" customHeight="1" s="19"/>
    <row r="682" ht="15.75" customHeight="1" s="19"/>
    <row r="683" ht="15.75" customHeight="1" s="19"/>
    <row r="684" ht="15.75" customHeight="1" s="19"/>
    <row r="685" ht="15.75" customHeight="1" s="19"/>
    <row r="686" ht="15.75" customHeight="1" s="19"/>
    <row r="687" ht="15.75" customHeight="1" s="19"/>
    <row r="688" ht="15.75" customHeight="1" s="19"/>
    <row r="689" ht="15.75" customHeight="1" s="19"/>
    <row r="690" ht="15.75" customHeight="1" s="19"/>
    <row r="691" ht="15.75" customHeight="1" s="19"/>
    <row r="692" ht="15.75" customHeight="1" s="19"/>
    <row r="693" ht="15.75" customHeight="1" s="19"/>
    <row r="694" ht="15.75" customHeight="1" s="19"/>
    <row r="695" ht="15.75" customHeight="1" s="19"/>
    <row r="696" ht="15.75" customHeight="1" s="19"/>
    <row r="697" ht="15.75" customHeight="1" s="19"/>
    <row r="698" ht="15.75" customHeight="1" s="19"/>
    <row r="699" ht="15.75" customHeight="1" s="19"/>
    <row r="700" ht="15.75" customHeight="1" s="19"/>
    <row r="701" ht="15.75" customHeight="1" s="19"/>
    <row r="702" ht="15.75" customHeight="1" s="19"/>
    <row r="703" ht="15.75" customHeight="1" s="19"/>
    <row r="704" ht="15.75" customHeight="1" s="19"/>
    <row r="705" ht="15.75" customHeight="1" s="19"/>
    <row r="706" ht="15.75" customHeight="1" s="19"/>
    <row r="707" ht="15.75" customHeight="1" s="19"/>
    <row r="708" ht="15.75" customHeight="1" s="19"/>
    <row r="709" ht="15.75" customHeight="1" s="19"/>
    <row r="710" ht="15.75" customHeight="1" s="19"/>
    <row r="711" ht="15.75" customHeight="1" s="19"/>
    <row r="712" ht="15.75" customHeight="1" s="19"/>
    <row r="713" ht="15.75" customHeight="1" s="19"/>
    <row r="714" ht="15.75" customHeight="1" s="19"/>
    <row r="715" ht="15.75" customHeight="1" s="19"/>
    <row r="716" ht="15.75" customHeight="1" s="19"/>
    <row r="717" ht="15.75" customHeight="1" s="19"/>
    <row r="718" ht="15.75" customHeight="1" s="19"/>
    <row r="719" ht="15.75" customHeight="1" s="19"/>
    <row r="720" ht="15.75" customHeight="1" s="19"/>
    <row r="721" ht="15.75" customHeight="1" s="19"/>
    <row r="722" ht="15.75" customHeight="1" s="19"/>
    <row r="723" ht="15.75" customHeight="1" s="19"/>
    <row r="724" ht="15.75" customHeight="1" s="19"/>
    <row r="725" ht="15.75" customHeight="1" s="19"/>
    <row r="726" ht="15.75" customHeight="1" s="19"/>
    <row r="727" ht="15.75" customHeight="1" s="19"/>
    <row r="728" ht="15.75" customHeight="1" s="19"/>
    <row r="729" ht="15.75" customHeight="1" s="19"/>
    <row r="730" ht="15.75" customHeight="1" s="19"/>
    <row r="731" ht="15.75" customHeight="1" s="19"/>
    <row r="732" ht="15.75" customHeight="1" s="19"/>
    <row r="733" ht="15.75" customHeight="1" s="19"/>
    <row r="734" ht="15.75" customHeight="1" s="19"/>
    <row r="735" ht="15.75" customHeight="1" s="19"/>
    <row r="736" ht="15.75" customHeight="1" s="19"/>
    <row r="737" ht="15.75" customHeight="1" s="19"/>
    <row r="738" ht="15.75" customHeight="1" s="19"/>
    <row r="739" ht="15.75" customHeight="1" s="19"/>
    <row r="740" ht="15.75" customHeight="1" s="19"/>
    <row r="741" ht="15.75" customHeight="1" s="19"/>
    <row r="742" ht="15.75" customHeight="1" s="19"/>
    <row r="743" ht="15.75" customHeight="1" s="19"/>
    <row r="744" ht="15.75" customHeight="1" s="19"/>
    <row r="745" ht="15.75" customHeight="1" s="19"/>
    <row r="746" ht="15.75" customHeight="1" s="19"/>
    <row r="747" ht="15.75" customHeight="1" s="19"/>
    <row r="748" ht="15.75" customHeight="1" s="19"/>
    <row r="749" ht="15.75" customHeight="1" s="19"/>
    <row r="750" ht="15.75" customHeight="1" s="19"/>
    <row r="751" ht="15.75" customHeight="1" s="19"/>
    <row r="752" ht="15.75" customHeight="1" s="19"/>
    <row r="753" ht="15.75" customHeight="1" s="19"/>
    <row r="754" ht="15.75" customHeight="1" s="19"/>
    <row r="755" ht="15.75" customHeight="1" s="19"/>
    <row r="756" ht="15.75" customHeight="1" s="19"/>
    <row r="757" ht="15.75" customHeight="1" s="19"/>
    <row r="758" ht="15.75" customHeight="1" s="19"/>
    <row r="759" ht="15.75" customHeight="1" s="19"/>
    <row r="760" ht="15.75" customHeight="1" s="19"/>
    <row r="761" ht="15.75" customHeight="1" s="19"/>
    <row r="762" ht="15.75" customHeight="1" s="19"/>
    <row r="763" ht="15.75" customHeight="1" s="19"/>
    <row r="764" ht="15.75" customHeight="1" s="19"/>
    <row r="765" ht="15.75" customHeight="1" s="19"/>
    <row r="766" ht="15.75" customHeight="1" s="19"/>
    <row r="767" ht="15.75" customHeight="1" s="19"/>
    <row r="768" ht="15.75" customHeight="1" s="19"/>
    <row r="769" ht="15.75" customHeight="1" s="19"/>
    <row r="770" ht="15.75" customHeight="1" s="19"/>
    <row r="771" ht="15.75" customHeight="1" s="19"/>
    <row r="772" ht="15.75" customHeight="1" s="19"/>
    <row r="773" ht="15.75" customHeight="1" s="19"/>
    <row r="774" ht="15.75" customHeight="1" s="19"/>
    <row r="775" ht="15.75" customHeight="1" s="19"/>
    <row r="776" ht="15.75" customHeight="1" s="19"/>
    <row r="777" ht="15.75" customHeight="1" s="19"/>
    <row r="778" ht="15.75" customHeight="1" s="19"/>
    <row r="779" ht="15.75" customHeight="1" s="19"/>
    <row r="780" ht="15.75" customHeight="1" s="19"/>
    <row r="781" ht="15.75" customHeight="1" s="19"/>
    <row r="782" ht="15.75" customHeight="1" s="19"/>
    <row r="783" ht="15.75" customHeight="1" s="19"/>
    <row r="784" ht="15.75" customHeight="1" s="19"/>
    <row r="785" ht="15.75" customHeight="1" s="19"/>
    <row r="786" ht="15.75" customHeight="1" s="19"/>
    <row r="787" ht="15.75" customHeight="1" s="19"/>
    <row r="788" ht="15.75" customHeight="1" s="19"/>
    <row r="789" ht="15.75" customHeight="1" s="19"/>
    <row r="790" ht="15.75" customHeight="1" s="19"/>
    <row r="791" ht="15.75" customHeight="1" s="19"/>
    <row r="792" ht="15.75" customHeight="1" s="19"/>
    <row r="793" ht="15.75" customHeight="1" s="19"/>
    <row r="794" ht="15.75" customHeight="1" s="19"/>
    <row r="795" ht="15.75" customHeight="1" s="19"/>
    <row r="796" ht="15.75" customHeight="1" s="19"/>
    <row r="797" ht="15.75" customHeight="1" s="19"/>
    <row r="798" ht="15.75" customHeight="1" s="19"/>
    <row r="799" ht="15.75" customHeight="1" s="19"/>
    <row r="800" ht="15.75" customHeight="1" s="19"/>
    <row r="801" ht="15.75" customHeight="1" s="19"/>
    <row r="802" ht="15.75" customHeight="1" s="19"/>
    <row r="803" ht="15.75" customHeight="1" s="19"/>
    <row r="804" ht="15.75" customHeight="1" s="19"/>
    <row r="805" ht="15.75" customHeight="1" s="19"/>
    <row r="806" ht="15.75" customHeight="1" s="19"/>
    <row r="807" ht="15.75" customHeight="1" s="19"/>
    <row r="808" ht="15.75" customHeight="1" s="19"/>
    <row r="809" ht="15.75" customHeight="1" s="19"/>
    <row r="810" ht="15.75" customHeight="1" s="19"/>
    <row r="811" ht="15.75" customHeight="1" s="19"/>
    <row r="812" ht="15.75" customHeight="1" s="19"/>
    <row r="813" ht="15.75" customHeight="1" s="19"/>
    <row r="814" ht="15.75" customHeight="1" s="19"/>
    <row r="815" ht="15.75" customHeight="1" s="19"/>
    <row r="816" ht="15.75" customHeight="1" s="19"/>
    <row r="817" ht="15.75" customHeight="1" s="19"/>
    <row r="818" ht="15.75" customHeight="1" s="19"/>
    <row r="819" ht="15.75" customHeight="1" s="19"/>
    <row r="820" ht="15.75" customHeight="1" s="19"/>
    <row r="821" ht="15.75" customHeight="1" s="19"/>
    <row r="822" ht="15.75" customHeight="1" s="19"/>
    <row r="823" ht="15.75" customHeight="1" s="19"/>
    <row r="824" ht="15.75" customHeight="1" s="19"/>
    <row r="825" ht="15.75" customHeight="1" s="19"/>
    <row r="826" ht="15.75" customHeight="1" s="19"/>
    <row r="827" ht="15.75" customHeight="1" s="19"/>
    <row r="828" ht="15.75" customHeight="1" s="19"/>
    <row r="829" ht="15.75" customHeight="1" s="19"/>
    <row r="830" ht="15.75" customHeight="1" s="19"/>
    <row r="831" ht="15.75" customHeight="1" s="19"/>
    <row r="832" ht="15.75" customHeight="1" s="19"/>
    <row r="833" ht="15.75" customHeight="1" s="19"/>
    <row r="834" ht="15.75" customHeight="1" s="19"/>
    <row r="835" ht="15.75" customHeight="1" s="19"/>
    <row r="836" ht="15.75" customHeight="1" s="19"/>
    <row r="837" ht="15.75" customHeight="1" s="19"/>
    <row r="838" ht="15.75" customHeight="1" s="19"/>
    <row r="839" ht="15.75" customHeight="1" s="19"/>
    <row r="840" ht="15.75" customHeight="1" s="19"/>
    <row r="841" ht="15.75" customHeight="1" s="19"/>
    <row r="842" ht="15.75" customHeight="1" s="19"/>
    <row r="843" ht="15.75" customHeight="1" s="19"/>
    <row r="844" ht="15.75" customHeight="1" s="19"/>
    <row r="845" ht="15.75" customHeight="1" s="19"/>
    <row r="846" ht="15.75" customHeight="1" s="19"/>
    <row r="847" ht="15.75" customHeight="1" s="19"/>
    <row r="848" ht="15.75" customHeight="1" s="19"/>
    <row r="849" ht="15.75" customHeight="1" s="19"/>
    <row r="850" ht="15.75" customHeight="1" s="19"/>
    <row r="851" ht="15.75" customHeight="1" s="19"/>
    <row r="852" ht="15.75" customHeight="1" s="19"/>
    <row r="853" ht="15.75" customHeight="1" s="19"/>
    <row r="854" ht="15.75" customHeight="1" s="19"/>
    <row r="855" ht="15.75" customHeight="1" s="19"/>
    <row r="856" ht="15.75" customHeight="1" s="19"/>
    <row r="857" ht="15.75" customHeight="1" s="19"/>
    <row r="858" ht="15.75" customHeight="1" s="19"/>
    <row r="859" ht="15.75" customHeight="1" s="19"/>
    <row r="860" ht="15.75" customHeight="1" s="19"/>
    <row r="861" ht="15.75" customHeight="1" s="19"/>
    <row r="862" ht="15.75" customHeight="1" s="19"/>
    <row r="863" ht="15.75" customHeight="1" s="19"/>
    <row r="864" ht="15.75" customHeight="1" s="19"/>
    <row r="865" ht="15.75" customHeight="1" s="19"/>
    <row r="866" ht="15.75" customHeight="1" s="19"/>
    <row r="867" ht="15.75" customHeight="1" s="19"/>
    <row r="868" ht="15.75" customHeight="1" s="19"/>
    <row r="869" ht="15.75" customHeight="1" s="19"/>
    <row r="870" ht="15.75" customHeight="1" s="19"/>
    <row r="871" ht="15.75" customHeight="1" s="19"/>
    <row r="872" ht="15.75" customHeight="1" s="19"/>
    <row r="873" ht="15.75" customHeight="1" s="19"/>
    <row r="874" ht="15.75" customHeight="1" s="19"/>
    <row r="875" ht="15.75" customHeight="1" s="19"/>
    <row r="876" ht="15.75" customHeight="1" s="19"/>
    <row r="877" ht="15.75" customHeight="1" s="19"/>
    <row r="878" ht="15.75" customHeight="1" s="19"/>
    <row r="879" ht="15.75" customHeight="1" s="19"/>
    <row r="880" ht="15.75" customHeight="1" s="19"/>
    <row r="881" ht="15.75" customHeight="1" s="19"/>
    <row r="882" ht="15.75" customHeight="1" s="19"/>
    <row r="883" ht="15.75" customHeight="1" s="19"/>
    <row r="884" ht="15.75" customHeight="1" s="19"/>
    <row r="885" ht="15.75" customHeight="1" s="19"/>
    <row r="886" ht="15.75" customHeight="1" s="19"/>
    <row r="887" ht="15.75" customHeight="1" s="19"/>
    <row r="888" ht="15.75" customHeight="1" s="19"/>
    <row r="889" ht="15.75" customHeight="1" s="19"/>
    <row r="890" ht="15.75" customHeight="1" s="19"/>
    <row r="891" ht="15.75" customHeight="1" s="19"/>
    <row r="892" ht="15.75" customHeight="1" s="19"/>
    <row r="893" ht="15.75" customHeight="1" s="19"/>
    <row r="894" ht="15.75" customHeight="1" s="19"/>
    <row r="895" ht="15.75" customHeight="1" s="19"/>
    <row r="896" ht="15.75" customHeight="1" s="19"/>
    <row r="897" ht="15.75" customHeight="1" s="19"/>
    <row r="898" ht="15.75" customHeight="1" s="19"/>
    <row r="899" ht="15.75" customHeight="1" s="19"/>
    <row r="900" ht="15.75" customHeight="1" s="19"/>
    <row r="901" ht="15.75" customHeight="1" s="19"/>
    <row r="902" ht="15.75" customHeight="1" s="19"/>
    <row r="903" ht="15.75" customHeight="1" s="19"/>
    <row r="904" ht="15.75" customHeight="1" s="19"/>
    <row r="905" ht="15.75" customHeight="1" s="19"/>
    <row r="906" ht="15.75" customHeight="1" s="19"/>
    <row r="907" ht="15.75" customHeight="1" s="19"/>
    <row r="908" ht="15.75" customHeight="1" s="19"/>
    <row r="909" ht="15.75" customHeight="1" s="19"/>
    <row r="910" ht="15.75" customHeight="1" s="19"/>
    <row r="911" ht="15.75" customHeight="1" s="19"/>
    <row r="912" ht="15.75" customHeight="1" s="19"/>
    <row r="913" ht="15.75" customHeight="1" s="19"/>
    <row r="914" ht="15.75" customHeight="1" s="19"/>
    <row r="915" ht="15.75" customHeight="1" s="19"/>
    <row r="916" ht="15.75" customHeight="1" s="19"/>
    <row r="917" ht="15.75" customHeight="1" s="19"/>
    <row r="918" ht="15.75" customHeight="1" s="19"/>
    <row r="919" ht="15.75" customHeight="1" s="19"/>
    <row r="920" ht="15.75" customHeight="1" s="19"/>
    <row r="921" ht="15.75" customHeight="1" s="19"/>
    <row r="922" ht="15.75" customHeight="1" s="19"/>
    <row r="923" ht="15.75" customHeight="1" s="19"/>
    <row r="924" ht="15.75" customHeight="1" s="19"/>
    <row r="925" ht="15.75" customHeight="1" s="19"/>
    <row r="926" ht="15.75" customHeight="1" s="19"/>
    <row r="927" ht="15.75" customHeight="1" s="19"/>
    <row r="928" ht="15.75" customHeight="1" s="19"/>
    <row r="929" ht="15.75" customHeight="1" s="19"/>
    <row r="930" ht="15.75" customHeight="1" s="19"/>
    <row r="931" ht="15.75" customHeight="1" s="19"/>
    <row r="932" ht="15.75" customHeight="1" s="19"/>
    <row r="933" ht="15.75" customHeight="1" s="19"/>
    <row r="934" ht="15.75" customHeight="1" s="19"/>
    <row r="935" ht="15.75" customHeight="1" s="19"/>
    <row r="936" ht="15.75" customHeight="1" s="19"/>
    <row r="937" ht="15.75" customHeight="1" s="19"/>
    <row r="938" ht="15.75" customHeight="1" s="19"/>
    <row r="939" ht="15.75" customHeight="1" s="19"/>
    <row r="940" ht="15.75" customHeight="1" s="19"/>
    <row r="941" ht="15.75" customHeight="1" s="19"/>
    <row r="942" ht="15.75" customHeight="1" s="19"/>
    <row r="943" ht="15.75" customHeight="1" s="19"/>
    <row r="944" ht="15.75" customHeight="1" s="19"/>
    <row r="945" ht="15.75" customHeight="1" s="19"/>
    <row r="946" ht="15.75" customHeight="1" s="19"/>
    <row r="947" ht="15.75" customHeight="1" s="19"/>
    <row r="948" ht="15.75" customHeight="1" s="19"/>
    <row r="949" ht="15.75" customHeight="1" s="19"/>
    <row r="950" ht="15.75" customHeight="1" s="19"/>
    <row r="951" ht="15.75" customHeight="1" s="19"/>
    <row r="952" ht="15.75" customHeight="1" s="19"/>
    <row r="953" ht="15.75" customHeight="1" s="19"/>
    <row r="954" ht="15.75" customHeight="1" s="19"/>
    <row r="955" ht="15.75" customHeight="1" s="19"/>
    <row r="956" ht="15.75" customHeight="1" s="19"/>
    <row r="957" ht="15.75" customHeight="1" s="19"/>
    <row r="958" ht="15.75" customHeight="1" s="19"/>
    <row r="959" ht="15.75" customHeight="1" s="19"/>
    <row r="960" ht="15.75" customHeight="1" s="19"/>
    <row r="961" ht="15.75" customHeight="1" s="19"/>
    <row r="962" ht="15.75" customHeight="1" s="19"/>
    <row r="963" ht="15.75" customHeight="1" s="19"/>
    <row r="964" ht="15.75" customHeight="1" s="19"/>
    <row r="965" ht="15.75" customHeight="1" s="19"/>
    <row r="966" ht="15.75" customHeight="1" s="19"/>
    <row r="967" ht="15.75" customHeight="1" s="19"/>
    <row r="968" ht="15.75" customHeight="1" s="19"/>
    <row r="969" ht="15.75" customHeight="1" s="19"/>
    <row r="970" ht="15.75" customHeight="1" s="19"/>
    <row r="971" ht="15.75" customHeight="1" s="19"/>
    <row r="972" ht="15.75" customHeight="1" s="19"/>
    <row r="973" ht="15.75" customHeight="1" s="19"/>
    <row r="974" ht="15.75" customHeight="1" s="19"/>
    <row r="975" ht="15.75" customHeight="1" s="19"/>
    <row r="976" ht="15.75" customHeight="1" s="19"/>
    <row r="977" ht="15.75" customHeight="1" s="19"/>
    <row r="978" ht="15.75" customHeight="1" s="19"/>
    <row r="979" ht="15.75" customHeight="1" s="19"/>
    <row r="980" ht="15.75" customHeight="1" s="19"/>
    <row r="981" ht="15.75" customHeight="1" s="19"/>
    <row r="982" ht="15.75" customHeight="1" s="19"/>
    <row r="983" ht="15.75" customHeight="1" s="19"/>
    <row r="984" ht="15.75" customHeight="1" s="19"/>
    <row r="985" ht="15.75" customHeight="1" s="19"/>
    <row r="986" ht="15.75" customHeight="1" s="19"/>
    <row r="987" ht="15.75" customHeight="1" s="19"/>
    <row r="988" ht="15.75" customHeight="1" s="19"/>
    <row r="989" ht="15.75" customHeight="1" s="19"/>
    <row r="990" ht="15.75" customHeight="1" s="19"/>
    <row r="991" ht="15.75" customHeight="1" s="19"/>
    <row r="992" ht="15.75" customHeight="1" s="19"/>
    <row r="993" ht="15.75" customHeight="1" s="19"/>
    <row r="994" ht="15.75" customHeight="1" s="19"/>
    <row r="995" ht="15.75" customHeight="1" s="19"/>
    <row r="996" ht="15.75" customHeight="1" s="19"/>
    <row r="997" ht="15.75" customHeight="1" s="19"/>
    <row r="998" ht="15.75" customHeight="1" s="19"/>
    <row r="999" ht="15.75" customHeight="1" s="19"/>
    <row r="1000" ht="15.75" customHeight="1" s="19"/>
  </sheetData>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J25"/>
  <sheetViews>
    <sheetView showGridLines="0" workbookViewId="0">
      <selection activeCell="A1" sqref="A1"/>
    </sheetView>
  </sheetViews>
  <sheetFormatPr baseColWidth="8" defaultColWidth="14.43" defaultRowHeight="15" customHeight="1"/>
  <cols>
    <col width="8" customWidth="1" style="19" min="1" max="1"/>
    <col width="14" customWidth="1" style="19" min="2" max="2"/>
    <col width="18" customWidth="1" style="19" min="3" max="3"/>
    <col width="28" customWidth="1" style="19" min="4" max="4"/>
    <col width="30" customWidth="1" style="19" min="5" max="5"/>
    <col width="42" customWidth="1" style="19" min="6" max="6"/>
    <col width="35" customWidth="1" style="19" min="7" max="7"/>
    <col width="35" customWidth="1" style="19" min="8" max="8"/>
    <col width="16" customWidth="1" style="19" min="9" max="9"/>
    <col width="18" customWidth="1" style="19" min="10" max="10"/>
    <col width="8.710000000000001" customWidth="1" style="19" min="11" max="26"/>
  </cols>
  <sheetData>
    <row r="1">
      <c r="A1" s="33" t="inlineStr">
        <is>
          <t>STT</t>
        </is>
      </c>
      <c r="B1" s="33" t="inlineStr">
        <is>
          <t>Mã câu</t>
        </is>
      </c>
      <c r="C1" s="33" t="inlineStr">
        <is>
          <t>Module</t>
        </is>
      </c>
      <c r="D1" s="33" t="inlineStr">
        <is>
          <t>Chủ đề / Kỹ năng</t>
        </is>
      </c>
      <c r="E1" s="33" t="inlineStr">
        <is>
          <t>Nhóm bẫy SAT</t>
        </is>
      </c>
      <c r="F1" s="33" t="inlineStr">
        <is>
          <t>Phân tích nguyên nhân &amp; Bài học</t>
        </is>
      </c>
      <c r="G1" s="33" t="inlineStr">
        <is>
          <t>Ghi chú tư duy</t>
        </is>
      </c>
      <c r="H1" s="33" t="inlineStr">
        <is>
          <t>Từ mới / Thuật ngữ</t>
        </is>
      </c>
      <c r="I1" s="33" t="inlineStr">
        <is>
          <t>Tình trạng</t>
        </is>
      </c>
      <c r="J1" s="33" t="inlineStr">
        <is>
          <t>Thời gian</t>
        </is>
      </c>
    </row>
    <row r="2">
      <c r="A2" s="2" t="n"/>
      <c r="E2" s="34" t="n"/>
      <c r="F2" s="34" t="n"/>
      <c r="G2" s="34" t="n"/>
      <c r="H2" s="34" t="n"/>
      <c r="I2" s="34" t="n"/>
    </row>
    <row r="3">
      <c r="E3" s="6" t="n"/>
      <c r="F3" s="6" t="n"/>
      <c r="G3" s="6" t="n"/>
      <c r="H3" s="6" t="n"/>
      <c r="I3" s="6" t="n"/>
    </row>
    <row r="6">
      <c r="A6" s="35" t="n"/>
      <c r="D6" s="35" t="n"/>
      <c r="G6" s="35" t="n"/>
    </row>
    <row r="7">
      <c r="A7" s="5" t="n"/>
      <c r="D7" s="5" t="n"/>
      <c r="G7" s="5" t="n"/>
    </row>
    <row r="8">
      <c r="A8" s="5" t="n"/>
      <c r="D8" s="5" t="n"/>
      <c r="G8" s="5" t="n"/>
    </row>
    <row r="9">
      <c r="A9" s="5" t="n"/>
      <c r="D9" s="5" t="n"/>
      <c r="G9" s="5" t="n"/>
    </row>
    <row r="10">
      <c r="D10" s="5" t="n"/>
    </row>
    <row r="13">
      <c r="A13" s="1" t="n"/>
    </row>
    <row r="15">
      <c r="A15" s="26" t="n"/>
      <c r="B15" s="26" t="n"/>
      <c r="C15" s="26" t="n"/>
      <c r="D15" s="26" t="n"/>
      <c r="E15" s="26" t="n"/>
      <c r="F15" s="26" t="n"/>
      <c r="G15" s="26" t="n"/>
      <c r="H15" s="26" t="n"/>
      <c r="I15" s="26" t="n"/>
      <c r="J15" s="26" t="n"/>
    </row>
    <row r="16">
      <c r="A16" s="7" t="n"/>
      <c r="B16" s="7" t="n"/>
      <c r="C16" s="5" t="n"/>
      <c r="D16" s="5" t="n"/>
      <c r="E16" s="5" t="n"/>
      <c r="F16" s="5" t="n"/>
      <c r="G16" s="5" t="n"/>
      <c r="H16" s="7" t="n"/>
      <c r="I16" s="7" t="n"/>
      <c r="J16" s="5" t="n"/>
    </row>
    <row r="17">
      <c r="A17" s="7" t="n"/>
      <c r="B17" s="7" t="n"/>
      <c r="C17" s="5" t="n"/>
      <c r="D17" s="5" t="n"/>
      <c r="E17" s="5" t="n"/>
      <c r="F17" s="5" t="n"/>
      <c r="G17" s="5" t="n"/>
      <c r="H17" s="7" t="n"/>
      <c r="I17" s="7" t="n"/>
      <c r="J17" s="5" t="n"/>
    </row>
    <row r="18">
      <c r="A18" s="7" t="n"/>
      <c r="B18" s="7" t="n"/>
      <c r="C18" s="5" t="n"/>
      <c r="D18" s="5" t="n"/>
      <c r="E18" s="5" t="n"/>
      <c r="F18" s="5" t="n"/>
      <c r="G18" s="5" t="n"/>
      <c r="H18" s="7" t="n"/>
      <c r="I18" s="7" t="n"/>
      <c r="J18" s="5" t="n"/>
    </row>
    <row r="19">
      <c r="A19" s="7" t="n"/>
      <c r="B19" s="7" t="n"/>
      <c r="C19" s="5" t="n"/>
      <c r="D19" s="5" t="n"/>
      <c r="E19" s="5" t="n"/>
      <c r="F19" s="5" t="n"/>
      <c r="G19" s="5" t="n"/>
      <c r="H19" s="7" t="n"/>
      <c r="I19" s="7" t="n"/>
      <c r="J19" s="5" t="n"/>
    </row>
    <row r="20">
      <c r="A20" s="7" t="n"/>
      <c r="B20" s="7" t="n"/>
      <c r="C20" s="5" t="n"/>
      <c r="D20" s="5" t="n"/>
      <c r="E20" s="5" t="n"/>
      <c r="F20" s="5" t="n"/>
      <c r="G20" s="5" t="n"/>
      <c r="H20" s="7" t="n"/>
      <c r="I20" s="7" t="n"/>
      <c r="J20" s="5" t="n"/>
    </row>
    <row r="21" ht="15.75" customHeight="1" s="19">
      <c r="A21" s="7" t="n"/>
      <c r="B21" s="7" t="n"/>
      <c r="C21" s="5" t="n"/>
      <c r="D21" s="5" t="n"/>
      <c r="E21" s="5" t="n"/>
      <c r="F21" s="5" t="n"/>
      <c r="G21" s="5" t="n"/>
      <c r="H21" s="7" t="n"/>
      <c r="I21" s="7" t="n"/>
      <c r="J21" s="5" t="n"/>
    </row>
    <row r="22" ht="15.75" customHeight="1" s="19">
      <c r="A22" s="7" t="n"/>
      <c r="B22" s="7" t="n"/>
      <c r="C22" s="5" t="n"/>
      <c r="D22" s="5" t="n"/>
      <c r="E22" s="5" t="n"/>
      <c r="F22" s="5" t="n"/>
      <c r="G22" s="5" t="n"/>
      <c r="H22" s="7" t="n"/>
      <c r="I22" s="7" t="n"/>
      <c r="J22" s="5" t="n"/>
    </row>
    <row r="23" ht="15.75" customHeight="1" s="19">
      <c r="A23" s="7" t="n"/>
      <c r="B23" s="7" t="n"/>
      <c r="C23" s="5" t="n"/>
      <c r="D23" s="5" t="n"/>
      <c r="E23" s="5" t="n"/>
      <c r="F23" s="5" t="n"/>
      <c r="G23" s="5" t="n"/>
      <c r="H23" s="7" t="n"/>
      <c r="I23" s="7" t="n"/>
      <c r="J23" s="5" t="n"/>
    </row>
    <row r="24" ht="15.75" customHeight="1" s="19">
      <c r="A24" s="7" t="n"/>
      <c r="B24" s="7" t="n"/>
      <c r="C24" s="5" t="n"/>
      <c r="D24" s="5" t="n"/>
      <c r="E24" s="5" t="n"/>
      <c r="F24" s="5" t="n"/>
      <c r="G24" s="5" t="n"/>
      <c r="H24" s="7" t="n"/>
      <c r="I24" s="7" t="n"/>
      <c r="J24" s="5" t="n"/>
    </row>
    <row r="25" ht="15.75" customHeight="1" s="19">
      <c r="A25" s="7" t="n"/>
      <c r="B25" s="7" t="n"/>
      <c r="C25" s="5" t="n"/>
      <c r="D25" s="5" t="n"/>
      <c r="E25" s="5" t="n"/>
      <c r="F25" s="5" t="n"/>
      <c r="G25" s="5" t="n"/>
      <c r="H25" s="7" t="n"/>
      <c r="I25" s="7" t="n"/>
      <c r="J25" s="5" t="n"/>
    </row>
    <row r="26" ht="15.75" customHeight="1" s="19"/>
    <row r="27" ht="15.75" customHeight="1" s="19"/>
    <row r="28" ht="15.75" customHeight="1" s="19"/>
    <row r="29" ht="15.75" customHeight="1" s="19"/>
    <row r="30" ht="15.75" customHeight="1" s="19"/>
    <row r="31" ht="15.75" customHeight="1" s="19"/>
    <row r="32" ht="15.75" customHeight="1" s="19"/>
    <row r="33" ht="15.75" customHeight="1" s="19"/>
    <row r="34" ht="15.75" customHeight="1" s="19"/>
    <row r="35" ht="15.75" customHeight="1" s="19"/>
    <row r="36" ht="15.75" customHeight="1" s="19"/>
    <row r="37" ht="15.75" customHeight="1" s="19"/>
    <row r="38" ht="15.75" customHeight="1" s="19"/>
    <row r="39" ht="15.75" customHeight="1" s="19"/>
    <row r="40" ht="15.75" customHeight="1" s="19"/>
    <row r="41" ht="15.75" customHeight="1" s="19"/>
    <row r="42" ht="15.75" customHeight="1" s="19"/>
    <row r="43" ht="15.75" customHeight="1" s="19"/>
    <row r="44" ht="15.75" customHeight="1" s="19"/>
    <row r="45" ht="15.75" customHeight="1" s="19"/>
    <row r="46" ht="15.75" customHeight="1" s="19"/>
    <row r="47" ht="15.75" customHeight="1" s="19"/>
    <row r="48" ht="15.75" customHeight="1" s="19"/>
    <row r="49" ht="15.75" customHeight="1" s="19"/>
    <row r="50" ht="15.75" customHeight="1" s="19"/>
    <row r="51" ht="15.75" customHeight="1" s="19"/>
    <row r="52" ht="15.75" customHeight="1" s="19"/>
    <row r="53" ht="15.75" customHeight="1" s="19"/>
    <row r="54" ht="15.75" customHeight="1" s="19"/>
    <row r="55" ht="15.75" customHeight="1" s="19"/>
    <row r="56" ht="15.75" customHeight="1" s="19"/>
    <row r="57" ht="15.75" customHeight="1" s="19"/>
    <row r="58" ht="15.75" customHeight="1" s="19"/>
    <row r="59" ht="15.75" customHeight="1" s="19"/>
    <row r="60" ht="15.75" customHeight="1" s="19"/>
    <row r="61" ht="15.75" customHeight="1" s="19"/>
    <row r="62" ht="15.75" customHeight="1" s="19"/>
    <row r="63" ht="15.75" customHeight="1" s="19"/>
    <row r="64" ht="15.75" customHeight="1" s="19"/>
    <row r="65" ht="15.75" customHeight="1" s="19"/>
    <row r="66" ht="15.75" customHeight="1" s="19"/>
    <row r="67" ht="15.75" customHeight="1" s="19"/>
    <row r="68" ht="15.75" customHeight="1" s="19"/>
    <row r="69" ht="15.75" customHeight="1" s="19"/>
    <row r="70" ht="15.75" customHeight="1" s="19"/>
    <row r="71" ht="15.75" customHeight="1" s="19"/>
    <row r="72" ht="15.75" customHeight="1" s="19"/>
    <row r="73" ht="15.75" customHeight="1" s="19"/>
    <row r="74" ht="15.75" customHeight="1" s="19"/>
    <row r="75" ht="15.75" customHeight="1" s="19"/>
    <row r="76" ht="15.75" customHeight="1" s="19"/>
    <row r="77" ht="15.75" customHeight="1" s="19"/>
    <row r="78" ht="15.75" customHeight="1" s="19"/>
    <row r="79" ht="15.75" customHeight="1" s="19"/>
    <row r="80" ht="15.75" customHeight="1" s="19"/>
    <row r="81" ht="15.75" customHeight="1" s="19"/>
    <row r="82" ht="15.75" customHeight="1" s="19"/>
    <row r="83" ht="15.75" customHeight="1" s="19"/>
    <row r="84" ht="15.75" customHeight="1" s="19"/>
    <row r="85" ht="15.75" customHeight="1" s="19"/>
    <row r="86" ht="15.75" customHeight="1" s="19"/>
    <row r="87" ht="15.75" customHeight="1" s="19"/>
    <row r="88" ht="15.75" customHeight="1" s="19"/>
    <row r="89" ht="15.75" customHeight="1" s="19"/>
    <row r="90" ht="15.75" customHeight="1" s="19"/>
    <row r="91" ht="15.75" customHeight="1" s="19"/>
    <row r="92" ht="15.75" customHeight="1" s="19"/>
    <row r="93" ht="15.75" customHeight="1" s="19"/>
    <row r="94" ht="15.75" customHeight="1" s="19"/>
    <row r="95" ht="15.75" customHeight="1" s="19"/>
    <row r="96" ht="15.75" customHeight="1" s="19"/>
    <row r="97" ht="15.75" customHeight="1" s="19"/>
    <row r="98" ht="15.75" customHeight="1" s="19"/>
    <row r="99" ht="15.75" customHeight="1" s="19"/>
    <row r="100" ht="15.75" customHeight="1" s="19"/>
    <row r="101" ht="15.75" customHeight="1" s="19"/>
    <row r="102" ht="15.75" customHeight="1" s="19"/>
    <row r="103" ht="15.75" customHeight="1" s="19"/>
    <row r="104" ht="15.75" customHeight="1" s="19"/>
    <row r="105" ht="15.75" customHeight="1" s="19"/>
    <row r="106" ht="15.75" customHeight="1" s="19"/>
    <row r="107" ht="15.75" customHeight="1" s="19"/>
    <row r="108" ht="15.75" customHeight="1" s="19"/>
    <row r="109" ht="15.75" customHeight="1" s="19"/>
    <row r="110" ht="15.75" customHeight="1" s="19"/>
    <row r="111" ht="15.75" customHeight="1" s="19"/>
    <row r="112" ht="15.75" customHeight="1" s="19"/>
    <row r="113" ht="15.75" customHeight="1" s="19"/>
    <row r="114" ht="15.75" customHeight="1" s="19"/>
    <row r="115" ht="15.75" customHeight="1" s="19"/>
    <row r="116" ht="15.75" customHeight="1" s="19"/>
    <row r="117" ht="15.75" customHeight="1" s="19"/>
    <row r="118" ht="15.75" customHeight="1" s="19"/>
    <row r="119" ht="15.75" customHeight="1" s="19"/>
    <row r="120" ht="15.75" customHeight="1" s="19"/>
    <row r="121" ht="15.75" customHeight="1" s="19"/>
    <row r="122" ht="15.75" customHeight="1" s="19"/>
    <row r="123" ht="15.75" customHeight="1" s="19"/>
    <row r="124" ht="15.75" customHeight="1" s="19"/>
    <row r="125" ht="15.75" customHeight="1" s="19"/>
    <row r="126" ht="15.75" customHeight="1" s="19"/>
    <row r="127" ht="15.75" customHeight="1" s="19"/>
    <row r="128" ht="15.75" customHeight="1" s="19"/>
    <row r="129" ht="15.75" customHeight="1" s="19"/>
    <row r="130" ht="15.75" customHeight="1" s="19"/>
    <row r="131" ht="15.75" customHeight="1" s="19"/>
    <row r="132" ht="15.75" customHeight="1" s="19"/>
    <row r="133" ht="15.75" customHeight="1" s="19"/>
    <row r="134" ht="15.75" customHeight="1" s="19"/>
    <row r="135" ht="15.75" customHeight="1" s="19"/>
    <row r="136" ht="15.75" customHeight="1" s="19"/>
    <row r="137" ht="15.75" customHeight="1" s="19"/>
    <row r="138" ht="15.75" customHeight="1" s="19"/>
    <row r="139" ht="15.75" customHeight="1" s="19"/>
    <row r="140" ht="15.75" customHeight="1" s="19"/>
    <row r="141" ht="15.75" customHeight="1" s="19"/>
    <row r="142" ht="15.75" customHeight="1" s="19"/>
    <row r="143" ht="15.75" customHeight="1" s="19"/>
    <row r="144" ht="15.75" customHeight="1" s="19"/>
    <row r="145" ht="15.75" customHeight="1" s="19"/>
    <row r="146" ht="15.75" customHeight="1" s="19"/>
    <row r="147" ht="15.75" customHeight="1" s="19"/>
    <row r="148" ht="15.75" customHeight="1" s="19"/>
    <row r="149" ht="15.75" customHeight="1" s="19"/>
    <row r="150" ht="15.75" customHeight="1" s="19"/>
    <row r="151" ht="15.75" customHeight="1" s="19"/>
    <row r="152" ht="15.75" customHeight="1" s="19"/>
    <row r="153" ht="15.75" customHeight="1" s="19"/>
    <row r="154" ht="15.75" customHeight="1" s="19"/>
    <row r="155" ht="15.75" customHeight="1" s="19"/>
    <row r="156" ht="15.75" customHeight="1" s="19"/>
    <row r="157" ht="15.75" customHeight="1" s="19"/>
    <row r="158" ht="15.75" customHeight="1" s="19"/>
    <row r="159" ht="15.75" customHeight="1" s="19"/>
    <row r="160" ht="15.75" customHeight="1" s="19"/>
    <row r="161" ht="15.75" customHeight="1" s="19"/>
    <row r="162" ht="15.75" customHeight="1" s="19"/>
    <row r="163" ht="15.75" customHeight="1" s="19"/>
    <row r="164" ht="15.75" customHeight="1" s="19"/>
    <row r="165" ht="15.75" customHeight="1" s="19"/>
    <row r="166" ht="15.75" customHeight="1" s="19"/>
    <row r="167" ht="15.75" customHeight="1" s="19"/>
    <row r="168" ht="15.75" customHeight="1" s="19"/>
    <row r="169" ht="15.75" customHeight="1" s="19"/>
    <row r="170" ht="15.75" customHeight="1" s="19"/>
    <row r="171" ht="15.75" customHeight="1" s="19"/>
    <row r="172" ht="15.75" customHeight="1" s="19"/>
    <row r="173" ht="15.75" customHeight="1" s="19"/>
    <row r="174" ht="15.75" customHeight="1" s="19"/>
    <row r="175" ht="15.75" customHeight="1" s="19"/>
    <row r="176" ht="15.75" customHeight="1" s="19"/>
    <row r="177" ht="15.75" customHeight="1" s="19"/>
    <row r="178" ht="15.75" customHeight="1" s="19"/>
    <row r="179" ht="15.75" customHeight="1" s="19"/>
    <row r="180" ht="15.75" customHeight="1" s="19"/>
    <row r="181" ht="15.75" customHeight="1" s="19"/>
    <row r="182" ht="15.75" customHeight="1" s="19"/>
    <row r="183" ht="15.75" customHeight="1" s="19"/>
    <row r="184" ht="15.75" customHeight="1" s="19"/>
    <row r="185" ht="15.75" customHeight="1" s="19"/>
    <row r="186" ht="15.75" customHeight="1" s="19"/>
    <row r="187" ht="15.75" customHeight="1" s="19"/>
    <row r="188" ht="15.75" customHeight="1" s="19"/>
    <row r="189" ht="15.75" customHeight="1" s="19"/>
    <row r="190" ht="15.75" customHeight="1" s="19"/>
    <row r="191" ht="15.75" customHeight="1" s="19"/>
    <row r="192" ht="15.75" customHeight="1" s="19"/>
    <row r="193" ht="15.75" customHeight="1" s="19"/>
    <row r="194" ht="15.75" customHeight="1" s="19"/>
    <row r="195" ht="15.75" customHeight="1" s="19"/>
    <row r="196" ht="15.75" customHeight="1" s="19"/>
    <row r="197" ht="15.75" customHeight="1" s="19"/>
    <row r="198" ht="15.75" customHeight="1" s="19"/>
    <row r="199" ht="15.75" customHeight="1" s="19"/>
    <row r="200" ht="15.75" customHeight="1" s="19"/>
    <row r="201" ht="15.75" customHeight="1" s="19"/>
    <row r="202" ht="15.75" customHeight="1" s="19"/>
    <row r="203" ht="15.75" customHeight="1" s="19"/>
    <row r="204" ht="15.75" customHeight="1" s="19"/>
    <row r="205" ht="15.75" customHeight="1" s="19"/>
    <row r="206" ht="15.75" customHeight="1" s="19"/>
    <row r="207" ht="15.75" customHeight="1" s="19"/>
    <row r="208" ht="15.75" customHeight="1" s="19"/>
    <row r="209" ht="15.75" customHeight="1" s="19"/>
    <row r="210" ht="15.75" customHeight="1" s="19"/>
    <row r="211" ht="15.75" customHeight="1" s="19"/>
    <row r="212" ht="15.75" customHeight="1" s="19"/>
    <row r="213" ht="15.75" customHeight="1" s="19"/>
    <row r="214" ht="15.75" customHeight="1" s="19"/>
    <row r="215" ht="15.75" customHeight="1" s="19"/>
    <row r="216" ht="15.75" customHeight="1" s="19"/>
    <row r="217" ht="15.75" customHeight="1" s="19"/>
    <row r="218" ht="15.75" customHeight="1" s="19"/>
    <row r="219" ht="15.75" customHeight="1" s="19"/>
    <row r="220" ht="15.75" customHeight="1" s="19"/>
    <row r="221" ht="15.75" customHeight="1" s="19"/>
    <row r="222" ht="15.75" customHeight="1" s="19"/>
    <row r="223" ht="15.75" customHeight="1" s="19"/>
    <row r="224" ht="15.75" customHeight="1" s="19"/>
    <row r="225" ht="15.75" customHeight="1" s="19"/>
    <row r="226" ht="15.75" customHeight="1" s="19"/>
    <row r="227" ht="15.75" customHeight="1" s="19"/>
    <row r="228" ht="15.75" customHeight="1" s="19"/>
    <row r="229" ht="15.75" customHeight="1" s="19"/>
    <row r="230" ht="15.75" customHeight="1" s="19"/>
    <row r="231" ht="15.75" customHeight="1" s="19"/>
    <row r="232" ht="15.75" customHeight="1" s="19"/>
    <row r="233" ht="15.75" customHeight="1" s="19"/>
    <row r="234" ht="15.75" customHeight="1" s="19"/>
    <row r="235" ht="15.75" customHeight="1" s="19"/>
    <row r="236" ht="15.75" customHeight="1" s="19"/>
    <row r="237" ht="15.75" customHeight="1" s="19"/>
    <row r="238" ht="15.75" customHeight="1" s="19"/>
    <row r="239" ht="15.75" customHeight="1" s="19"/>
    <row r="240" ht="15.75" customHeight="1" s="19"/>
    <row r="241" ht="15.75" customHeight="1" s="19"/>
    <row r="242" ht="15.75" customHeight="1" s="19"/>
    <row r="243" ht="15.75" customHeight="1" s="19"/>
    <row r="244" ht="15.75" customHeight="1" s="19"/>
    <row r="245" ht="15.75" customHeight="1" s="19"/>
    <row r="246" ht="15.75" customHeight="1" s="19"/>
    <row r="247" ht="15.75" customHeight="1" s="19"/>
    <row r="248" ht="15.75" customHeight="1" s="19"/>
    <row r="249" ht="15.75" customHeight="1" s="19"/>
    <row r="250" ht="15.75" customHeight="1" s="19"/>
    <row r="251" ht="15.75" customHeight="1" s="19"/>
    <row r="252" ht="15.75" customHeight="1" s="19"/>
    <row r="253" ht="15.75" customHeight="1" s="19"/>
    <row r="254" ht="15.75" customHeight="1" s="19"/>
    <row r="255" ht="15.75" customHeight="1" s="19"/>
    <row r="256" ht="15.75" customHeight="1" s="19"/>
    <row r="257" ht="15.75" customHeight="1" s="19"/>
    <row r="258" ht="15.75" customHeight="1" s="19"/>
    <row r="259" ht="15.75" customHeight="1" s="19"/>
    <row r="260" ht="15.75" customHeight="1" s="19"/>
    <row r="261" ht="15.75" customHeight="1" s="19"/>
    <row r="262" ht="15.75" customHeight="1" s="19"/>
    <row r="263" ht="15.75" customHeight="1" s="19"/>
    <row r="264" ht="15.75" customHeight="1" s="19"/>
    <row r="265" ht="15.75" customHeight="1" s="19"/>
    <row r="266" ht="15.75" customHeight="1" s="19"/>
    <row r="267" ht="15.75" customHeight="1" s="19"/>
    <row r="268" ht="15.75" customHeight="1" s="19"/>
    <row r="269" ht="15.75" customHeight="1" s="19"/>
    <row r="270" ht="15.75" customHeight="1" s="19"/>
    <row r="271" ht="15.75" customHeight="1" s="19"/>
    <row r="272" ht="15.75" customHeight="1" s="19"/>
    <row r="273" ht="15.75" customHeight="1" s="19"/>
    <row r="274" ht="15.75" customHeight="1" s="19"/>
    <row r="275" ht="15.75" customHeight="1" s="19"/>
    <row r="276" ht="15.75" customHeight="1" s="19"/>
    <row r="277" ht="15.75" customHeight="1" s="19"/>
    <row r="278" ht="15.75" customHeight="1" s="19"/>
    <row r="279" ht="15.75" customHeight="1" s="19"/>
    <row r="280" ht="15.75" customHeight="1" s="19"/>
    <row r="281" ht="15.75" customHeight="1" s="19"/>
    <row r="282" ht="15.75" customHeight="1" s="19"/>
    <row r="283" ht="15.75" customHeight="1" s="19"/>
    <row r="284" ht="15.75" customHeight="1" s="19"/>
    <row r="285" ht="15.75" customHeight="1" s="19"/>
    <row r="286" ht="15.75" customHeight="1" s="19"/>
    <row r="287" ht="15.75" customHeight="1" s="19"/>
    <row r="288" ht="15.75" customHeight="1" s="19"/>
    <row r="289" ht="15.75" customHeight="1" s="19"/>
    <row r="290" ht="15.75" customHeight="1" s="19"/>
    <row r="291" ht="15.75" customHeight="1" s="19"/>
    <row r="292" ht="15.75" customHeight="1" s="19"/>
    <row r="293" ht="15.75" customHeight="1" s="19"/>
    <row r="294" ht="15.75" customHeight="1" s="19"/>
    <row r="295" ht="15.75" customHeight="1" s="19"/>
    <row r="296" ht="15.75" customHeight="1" s="19"/>
    <row r="297" ht="15.75" customHeight="1" s="19"/>
    <row r="298" ht="15.75" customHeight="1" s="19"/>
    <row r="299" ht="15.75" customHeight="1" s="19"/>
    <row r="300" ht="15.75" customHeight="1" s="19"/>
    <row r="301" ht="15.75" customHeight="1" s="19"/>
    <row r="302" ht="15.75" customHeight="1" s="19"/>
    <row r="303" ht="15.75" customHeight="1" s="19"/>
    <row r="304" ht="15.75" customHeight="1" s="19"/>
    <row r="305" ht="15.75" customHeight="1" s="19"/>
    <row r="306" ht="15.75" customHeight="1" s="19"/>
    <row r="307" ht="15.75" customHeight="1" s="19"/>
    <row r="308" ht="15.75" customHeight="1" s="19"/>
    <row r="309" ht="15.75" customHeight="1" s="19"/>
    <row r="310" ht="15.75" customHeight="1" s="19"/>
    <row r="311" ht="15.75" customHeight="1" s="19"/>
    <row r="312" ht="15.75" customHeight="1" s="19"/>
    <row r="313" ht="15.75" customHeight="1" s="19"/>
    <row r="314" ht="15.75" customHeight="1" s="19"/>
    <row r="315" ht="15.75" customHeight="1" s="19"/>
    <row r="316" ht="15.75" customHeight="1" s="19"/>
    <row r="317" ht="15.75" customHeight="1" s="19"/>
    <row r="318" ht="15.75" customHeight="1" s="19"/>
    <row r="319" ht="15.75" customHeight="1" s="19"/>
    <row r="320" ht="15.75" customHeight="1" s="19"/>
    <row r="321" ht="15.75" customHeight="1" s="19"/>
    <row r="322" ht="15.75" customHeight="1" s="19"/>
    <row r="323" ht="15.75" customHeight="1" s="19"/>
    <row r="324" ht="15.75" customHeight="1" s="19"/>
    <row r="325" ht="15.75" customHeight="1" s="19"/>
    <row r="326" ht="15.75" customHeight="1" s="19"/>
    <row r="327" ht="15.75" customHeight="1" s="19"/>
    <row r="328" ht="15.75" customHeight="1" s="19"/>
    <row r="329" ht="15.75" customHeight="1" s="19"/>
    <row r="330" ht="15.75" customHeight="1" s="19"/>
    <row r="331" ht="15.75" customHeight="1" s="19"/>
    <row r="332" ht="15.75" customHeight="1" s="19"/>
    <row r="333" ht="15.75" customHeight="1" s="19"/>
    <row r="334" ht="15.75" customHeight="1" s="19"/>
    <row r="335" ht="15.75" customHeight="1" s="19"/>
    <row r="336" ht="15.75" customHeight="1" s="19"/>
    <row r="337" ht="15.75" customHeight="1" s="19"/>
    <row r="338" ht="15.75" customHeight="1" s="19"/>
    <row r="339" ht="15.75" customHeight="1" s="19"/>
    <row r="340" ht="15.75" customHeight="1" s="19"/>
    <row r="341" ht="15.75" customHeight="1" s="19"/>
    <row r="342" ht="15.75" customHeight="1" s="19"/>
    <row r="343" ht="15.75" customHeight="1" s="19"/>
    <row r="344" ht="15.75" customHeight="1" s="19"/>
    <row r="345" ht="15.75" customHeight="1" s="19"/>
    <row r="346" ht="15.75" customHeight="1" s="19"/>
    <row r="347" ht="15.75" customHeight="1" s="19"/>
    <row r="348" ht="15.75" customHeight="1" s="19"/>
    <row r="349" ht="15.75" customHeight="1" s="19"/>
    <row r="350" ht="15.75" customHeight="1" s="19"/>
    <row r="351" ht="15.75" customHeight="1" s="19"/>
    <row r="352" ht="15.75" customHeight="1" s="19"/>
    <row r="353" ht="15.75" customHeight="1" s="19"/>
    <row r="354" ht="15.75" customHeight="1" s="19"/>
    <row r="355" ht="15.75" customHeight="1" s="19"/>
    <row r="356" ht="15.75" customHeight="1" s="19"/>
    <row r="357" ht="15.75" customHeight="1" s="19"/>
    <row r="358" ht="15.75" customHeight="1" s="19"/>
    <row r="359" ht="15.75" customHeight="1" s="19"/>
    <row r="360" ht="15.75" customHeight="1" s="19"/>
    <row r="361" ht="15.75" customHeight="1" s="19"/>
    <row r="362" ht="15.75" customHeight="1" s="19"/>
    <row r="363" ht="15.75" customHeight="1" s="19"/>
    <row r="364" ht="15.75" customHeight="1" s="19"/>
    <row r="365" ht="15.75" customHeight="1" s="19"/>
    <row r="366" ht="15.75" customHeight="1" s="19"/>
    <row r="367" ht="15.75" customHeight="1" s="19"/>
    <row r="368" ht="15.75" customHeight="1" s="19"/>
    <row r="369" ht="15.75" customHeight="1" s="19"/>
    <row r="370" ht="15.75" customHeight="1" s="19"/>
    <row r="371" ht="15.75" customHeight="1" s="19"/>
    <row r="372" ht="15.75" customHeight="1" s="19"/>
    <row r="373" ht="15.75" customHeight="1" s="19"/>
    <row r="374" ht="15.75" customHeight="1" s="19"/>
    <row r="375" ht="15.75" customHeight="1" s="19"/>
    <row r="376" ht="15.75" customHeight="1" s="19"/>
    <row r="377" ht="15.75" customHeight="1" s="19"/>
    <row r="378" ht="15.75" customHeight="1" s="19"/>
    <row r="379" ht="15.75" customHeight="1" s="19"/>
    <row r="380" ht="15.75" customHeight="1" s="19"/>
    <row r="381" ht="15.75" customHeight="1" s="19"/>
    <row r="382" ht="15.75" customHeight="1" s="19"/>
    <row r="383" ht="15.75" customHeight="1" s="19"/>
    <row r="384" ht="15.75" customHeight="1" s="19"/>
    <row r="385" ht="15.75" customHeight="1" s="19"/>
    <row r="386" ht="15.75" customHeight="1" s="19"/>
    <row r="387" ht="15.75" customHeight="1" s="19"/>
    <row r="388" ht="15.75" customHeight="1" s="19"/>
    <row r="389" ht="15.75" customHeight="1" s="19"/>
    <row r="390" ht="15.75" customHeight="1" s="19"/>
    <row r="391" ht="15.75" customHeight="1" s="19"/>
    <row r="392" ht="15.75" customHeight="1" s="19"/>
    <row r="393" ht="15.75" customHeight="1" s="19"/>
    <row r="394" ht="15.75" customHeight="1" s="19"/>
    <row r="395" ht="15.75" customHeight="1" s="19"/>
    <row r="396" ht="15.75" customHeight="1" s="19"/>
    <row r="397" ht="15.75" customHeight="1" s="19"/>
    <row r="398" ht="15.75" customHeight="1" s="19"/>
    <row r="399" ht="15.75" customHeight="1" s="19"/>
    <row r="400" ht="15.75" customHeight="1" s="19"/>
    <row r="401" ht="15.75" customHeight="1" s="19"/>
    <row r="402" ht="15.75" customHeight="1" s="19"/>
    <row r="403" ht="15.75" customHeight="1" s="19"/>
    <row r="404" ht="15.75" customHeight="1" s="19"/>
    <row r="405" ht="15.75" customHeight="1" s="19"/>
    <row r="406" ht="15.75" customHeight="1" s="19"/>
    <row r="407" ht="15.75" customHeight="1" s="19"/>
    <row r="408" ht="15.75" customHeight="1" s="19"/>
    <row r="409" ht="15.75" customHeight="1" s="19"/>
    <row r="410" ht="15.75" customHeight="1" s="19"/>
    <row r="411" ht="15.75" customHeight="1" s="19"/>
    <row r="412" ht="15.75" customHeight="1" s="19"/>
    <row r="413" ht="15.75" customHeight="1" s="19"/>
    <row r="414" ht="15.75" customHeight="1" s="19"/>
    <row r="415" ht="15.75" customHeight="1" s="19"/>
    <row r="416" ht="15.75" customHeight="1" s="19"/>
    <row r="417" ht="15.75" customHeight="1" s="19"/>
    <row r="418" ht="15.75" customHeight="1" s="19"/>
    <row r="419" ht="15.75" customHeight="1" s="19"/>
    <row r="420" ht="15.75" customHeight="1" s="19"/>
    <row r="421" ht="15.75" customHeight="1" s="19"/>
    <row r="422" ht="15.75" customHeight="1" s="19"/>
    <row r="423" ht="15.75" customHeight="1" s="19"/>
    <row r="424" ht="15.75" customHeight="1" s="19"/>
    <row r="425" ht="15.75" customHeight="1" s="19"/>
    <row r="426" ht="15.75" customHeight="1" s="19"/>
    <row r="427" ht="15.75" customHeight="1" s="19"/>
    <row r="428" ht="15.75" customHeight="1" s="19"/>
    <row r="429" ht="15.75" customHeight="1" s="19"/>
    <row r="430" ht="15.75" customHeight="1" s="19"/>
    <row r="431" ht="15.75" customHeight="1" s="19"/>
    <row r="432" ht="15.75" customHeight="1" s="19"/>
    <row r="433" ht="15.75" customHeight="1" s="19"/>
    <row r="434" ht="15.75" customHeight="1" s="19"/>
    <row r="435" ht="15.75" customHeight="1" s="19"/>
    <row r="436" ht="15.75" customHeight="1" s="19"/>
    <row r="437" ht="15.75" customHeight="1" s="19"/>
    <row r="438" ht="15.75" customHeight="1" s="19"/>
    <row r="439" ht="15.75" customHeight="1" s="19"/>
    <row r="440" ht="15.75" customHeight="1" s="19"/>
    <row r="441" ht="15.75" customHeight="1" s="19"/>
    <row r="442" ht="15.75" customHeight="1" s="19"/>
    <row r="443" ht="15.75" customHeight="1" s="19"/>
    <row r="444" ht="15.75" customHeight="1" s="19"/>
    <row r="445" ht="15.75" customHeight="1" s="19"/>
    <row r="446" ht="15.75" customHeight="1" s="19"/>
    <row r="447" ht="15.75" customHeight="1" s="19"/>
    <row r="448" ht="15.75" customHeight="1" s="19"/>
    <row r="449" ht="15.75" customHeight="1" s="19"/>
    <row r="450" ht="15.75" customHeight="1" s="19"/>
    <row r="451" ht="15.75" customHeight="1" s="19"/>
    <row r="452" ht="15.75" customHeight="1" s="19"/>
    <row r="453" ht="15.75" customHeight="1" s="19"/>
    <row r="454" ht="15.75" customHeight="1" s="19"/>
    <row r="455" ht="15.75" customHeight="1" s="19"/>
    <row r="456" ht="15.75" customHeight="1" s="19"/>
    <row r="457" ht="15.75" customHeight="1" s="19"/>
    <row r="458" ht="15.75" customHeight="1" s="19"/>
    <row r="459" ht="15.75" customHeight="1" s="19"/>
    <row r="460" ht="15.75" customHeight="1" s="19"/>
    <row r="461" ht="15.75" customHeight="1" s="19"/>
    <row r="462" ht="15.75" customHeight="1" s="19"/>
    <row r="463" ht="15.75" customHeight="1" s="19"/>
    <row r="464" ht="15.75" customHeight="1" s="19"/>
    <row r="465" ht="15.75" customHeight="1" s="19"/>
    <row r="466" ht="15.75" customHeight="1" s="19"/>
    <row r="467" ht="15.75" customHeight="1" s="19"/>
    <row r="468" ht="15.75" customHeight="1" s="19"/>
    <row r="469" ht="15.75" customHeight="1" s="19"/>
    <row r="470" ht="15.75" customHeight="1" s="19"/>
    <row r="471" ht="15.75" customHeight="1" s="19"/>
    <row r="472" ht="15.75" customHeight="1" s="19"/>
    <row r="473" ht="15.75" customHeight="1" s="19"/>
    <row r="474" ht="15.75" customHeight="1" s="19"/>
    <row r="475" ht="15.75" customHeight="1" s="19"/>
    <row r="476" ht="15.75" customHeight="1" s="19"/>
    <row r="477" ht="15.75" customHeight="1" s="19"/>
    <row r="478" ht="15.75" customHeight="1" s="19"/>
    <row r="479" ht="15.75" customHeight="1" s="19"/>
    <row r="480" ht="15.75" customHeight="1" s="19"/>
    <row r="481" ht="15.75" customHeight="1" s="19"/>
    <row r="482" ht="15.75" customHeight="1" s="19"/>
    <row r="483" ht="15.75" customHeight="1" s="19"/>
    <row r="484" ht="15.75" customHeight="1" s="19"/>
    <row r="485" ht="15.75" customHeight="1" s="19"/>
    <row r="486" ht="15.75" customHeight="1" s="19"/>
    <row r="487" ht="15.75" customHeight="1" s="19"/>
    <row r="488" ht="15.75" customHeight="1" s="19"/>
    <row r="489" ht="15.75" customHeight="1" s="19"/>
    <row r="490" ht="15.75" customHeight="1" s="19"/>
    <row r="491" ht="15.75" customHeight="1" s="19"/>
    <row r="492" ht="15.75" customHeight="1" s="19"/>
    <row r="493" ht="15.75" customHeight="1" s="19"/>
    <row r="494" ht="15.75" customHeight="1" s="19"/>
    <row r="495" ht="15.75" customHeight="1" s="19"/>
    <row r="496" ht="15.75" customHeight="1" s="19"/>
    <row r="497" ht="15.75" customHeight="1" s="19"/>
    <row r="498" ht="15.75" customHeight="1" s="19"/>
    <row r="499" ht="15.75" customHeight="1" s="19"/>
    <row r="500" ht="15.75" customHeight="1" s="19"/>
    <row r="501" ht="15.75" customHeight="1" s="19"/>
    <row r="502" ht="15.75" customHeight="1" s="19"/>
    <row r="503" ht="15.75" customHeight="1" s="19"/>
    <row r="504" ht="15.75" customHeight="1" s="19"/>
    <row r="505" ht="15.75" customHeight="1" s="19"/>
    <row r="506" ht="15.75" customHeight="1" s="19"/>
    <row r="507" ht="15.75" customHeight="1" s="19"/>
    <row r="508" ht="15.75" customHeight="1" s="19"/>
    <row r="509" ht="15.75" customHeight="1" s="19"/>
    <row r="510" ht="15.75" customHeight="1" s="19"/>
    <row r="511" ht="15.75" customHeight="1" s="19"/>
    <row r="512" ht="15.75" customHeight="1" s="19"/>
    <row r="513" ht="15.75" customHeight="1" s="19"/>
    <row r="514" ht="15.75" customHeight="1" s="19"/>
    <row r="515" ht="15.75" customHeight="1" s="19"/>
    <row r="516" ht="15.75" customHeight="1" s="19"/>
    <row r="517" ht="15.75" customHeight="1" s="19"/>
    <row r="518" ht="15.75" customHeight="1" s="19"/>
    <row r="519" ht="15.75" customHeight="1" s="19"/>
    <row r="520" ht="15.75" customHeight="1" s="19"/>
    <row r="521" ht="15.75" customHeight="1" s="19"/>
    <row r="522" ht="15.75" customHeight="1" s="19"/>
    <row r="523" ht="15.75" customHeight="1" s="19"/>
    <row r="524" ht="15.75" customHeight="1" s="19"/>
    <row r="525" ht="15.75" customHeight="1" s="19"/>
    <row r="526" ht="15.75" customHeight="1" s="19"/>
    <row r="527" ht="15.75" customHeight="1" s="19"/>
    <row r="528" ht="15.75" customHeight="1" s="19"/>
    <row r="529" ht="15.75" customHeight="1" s="19"/>
    <row r="530" ht="15.75" customHeight="1" s="19"/>
    <row r="531" ht="15.75" customHeight="1" s="19"/>
    <row r="532" ht="15.75" customHeight="1" s="19"/>
    <row r="533" ht="15.75" customHeight="1" s="19"/>
    <row r="534" ht="15.75" customHeight="1" s="19"/>
    <row r="535" ht="15.75" customHeight="1" s="19"/>
    <row r="536" ht="15.75" customHeight="1" s="19"/>
    <row r="537" ht="15.75" customHeight="1" s="19"/>
    <row r="538" ht="15.75" customHeight="1" s="19"/>
    <row r="539" ht="15.75" customHeight="1" s="19"/>
    <row r="540" ht="15.75" customHeight="1" s="19"/>
    <row r="541" ht="15.75" customHeight="1" s="19"/>
    <row r="542" ht="15.75" customHeight="1" s="19"/>
    <row r="543" ht="15.75" customHeight="1" s="19"/>
    <row r="544" ht="15.75" customHeight="1" s="19"/>
    <row r="545" ht="15.75" customHeight="1" s="19"/>
    <row r="546" ht="15.75" customHeight="1" s="19"/>
    <row r="547" ht="15.75" customHeight="1" s="19"/>
    <row r="548" ht="15.75" customHeight="1" s="19"/>
    <row r="549" ht="15.75" customHeight="1" s="19"/>
    <row r="550" ht="15.75" customHeight="1" s="19"/>
    <row r="551" ht="15.75" customHeight="1" s="19"/>
    <row r="552" ht="15.75" customHeight="1" s="19"/>
    <row r="553" ht="15.75" customHeight="1" s="19"/>
    <row r="554" ht="15.75" customHeight="1" s="19"/>
    <row r="555" ht="15.75" customHeight="1" s="19"/>
    <row r="556" ht="15.75" customHeight="1" s="19"/>
    <row r="557" ht="15.75" customHeight="1" s="19"/>
    <row r="558" ht="15.75" customHeight="1" s="19"/>
    <row r="559" ht="15.75" customHeight="1" s="19"/>
    <row r="560" ht="15.75" customHeight="1" s="19"/>
    <row r="561" ht="15.75" customHeight="1" s="19"/>
    <row r="562" ht="15.75" customHeight="1" s="19"/>
    <row r="563" ht="15.75" customHeight="1" s="19"/>
    <row r="564" ht="15.75" customHeight="1" s="19"/>
    <row r="565" ht="15.75" customHeight="1" s="19"/>
    <row r="566" ht="15.75" customHeight="1" s="19"/>
    <row r="567" ht="15.75" customHeight="1" s="19"/>
    <row r="568" ht="15.75" customHeight="1" s="19"/>
    <row r="569" ht="15.75" customHeight="1" s="19"/>
    <row r="570" ht="15.75" customHeight="1" s="19"/>
    <row r="571" ht="15.75" customHeight="1" s="19"/>
    <row r="572" ht="15.75" customHeight="1" s="19"/>
    <row r="573" ht="15.75" customHeight="1" s="19"/>
    <row r="574" ht="15.75" customHeight="1" s="19"/>
    <row r="575" ht="15.75" customHeight="1" s="19"/>
    <row r="576" ht="15.75" customHeight="1" s="19"/>
    <row r="577" ht="15.75" customHeight="1" s="19"/>
    <row r="578" ht="15.75" customHeight="1" s="19"/>
    <row r="579" ht="15.75" customHeight="1" s="19"/>
    <row r="580" ht="15.75" customHeight="1" s="19"/>
    <row r="581" ht="15.75" customHeight="1" s="19"/>
    <row r="582" ht="15.75" customHeight="1" s="19"/>
    <row r="583" ht="15.75" customHeight="1" s="19"/>
    <row r="584" ht="15.75" customHeight="1" s="19"/>
    <row r="585" ht="15.75" customHeight="1" s="19"/>
    <row r="586" ht="15.75" customHeight="1" s="19"/>
    <row r="587" ht="15.75" customHeight="1" s="19"/>
    <row r="588" ht="15.75" customHeight="1" s="19"/>
    <row r="589" ht="15.75" customHeight="1" s="19"/>
    <row r="590" ht="15.75" customHeight="1" s="19"/>
    <row r="591" ht="15.75" customHeight="1" s="19"/>
    <row r="592" ht="15.75" customHeight="1" s="19"/>
    <row r="593" ht="15.75" customHeight="1" s="19"/>
    <row r="594" ht="15.75" customHeight="1" s="19"/>
    <row r="595" ht="15.75" customHeight="1" s="19"/>
    <row r="596" ht="15.75" customHeight="1" s="19"/>
    <row r="597" ht="15.75" customHeight="1" s="19"/>
    <row r="598" ht="15.75" customHeight="1" s="19"/>
    <row r="599" ht="15.75" customHeight="1" s="19"/>
    <row r="600" ht="15.75" customHeight="1" s="19"/>
    <row r="601" ht="15.75" customHeight="1" s="19"/>
    <row r="602" ht="15.75" customHeight="1" s="19"/>
    <row r="603" ht="15.75" customHeight="1" s="19"/>
    <row r="604" ht="15.75" customHeight="1" s="19"/>
    <row r="605" ht="15.75" customHeight="1" s="19"/>
    <row r="606" ht="15.75" customHeight="1" s="19"/>
    <row r="607" ht="15.75" customHeight="1" s="19"/>
    <row r="608" ht="15.75" customHeight="1" s="19"/>
    <row r="609" ht="15.75" customHeight="1" s="19"/>
    <row r="610" ht="15.75" customHeight="1" s="19"/>
    <row r="611" ht="15.75" customHeight="1" s="19"/>
    <row r="612" ht="15.75" customHeight="1" s="19"/>
    <row r="613" ht="15.75" customHeight="1" s="19"/>
    <row r="614" ht="15.75" customHeight="1" s="19"/>
    <row r="615" ht="15.75" customHeight="1" s="19"/>
    <row r="616" ht="15.75" customHeight="1" s="19"/>
    <row r="617" ht="15.75" customHeight="1" s="19"/>
    <row r="618" ht="15.75" customHeight="1" s="19"/>
    <row r="619" ht="15.75" customHeight="1" s="19"/>
    <row r="620" ht="15.75" customHeight="1" s="19"/>
    <row r="621" ht="15.75" customHeight="1" s="19"/>
    <row r="622" ht="15.75" customHeight="1" s="19"/>
    <row r="623" ht="15.75" customHeight="1" s="19"/>
    <row r="624" ht="15.75" customHeight="1" s="19"/>
    <row r="625" ht="15.75" customHeight="1" s="19"/>
    <row r="626" ht="15.75" customHeight="1" s="19"/>
    <row r="627" ht="15.75" customHeight="1" s="19"/>
    <row r="628" ht="15.75" customHeight="1" s="19"/>
    <row r="629" ht="15.75" customHeight="1" s="19"/>
    <row r="630" ht="15.75" customHeight="1" s="19"/>
    <row r="631" ht="15.75" customHeight="1" s="19"/>
    <row r="632" ht="15.75" customHeight="1" s="19"/>
    <row r="633" ht="15.75" customHeight="1" s="19"/>
    <row r="634" ht="15.75" customHeight="1" s="19"/>
    <row r="635" ht="15.75" customHeight="1" s="19"/>
    <row r="636" ht="15.75" customHeight="1" s="19"/>
    <row r="637" ht="15.75" customHeight="1" s="19"/>
    <row r="638" ht="15.75" customHeight="1" s="19"/>
    <row r="639" ht="15.75" customHeight="1" s="19"/>
    <row r="640" ht="15.75" customHeight="1" s="19"/>
    <row r="641" ht="15.75" customHeight="1" s="19"/>
    <row r="642" ht="15.75" customHeight="1" s="19"/>
    <row r="643" ht="15.75" customHeight="1" s="19"/>
    <row r="644" ht="15.75" customHeight="1" s="19"/>
    <row r="645" ht="15.75" customHeight="1" s="19"/>
    <row r="646" ht="15.75" customHeight="1" s="19"/>
    <row r="647" ht="15.75" customHeight="1" s="19"/>
    <row r="648" ht="15.75" customHeight="1" s="19"/>
    <row r="649" ht="15.75" customHeight="1" s="19"/>
    <row r="650" ht="15.75" customHeight="1" s="19"/>
    <row r="651" ht="15.75" customHeight="1" s="19"/>
    <row r="652" ht="15.75" customHeight="1" s="19"/>
    <row r="653" ht="15.75" customHeight="1" s="19"/>
    <row r="654" ht="15.75" customHeight="1" s="19"/>
    <row r="655" ht="15.75" customHeight="1" s="19"/>
    <row r="656" ht="15.75" customHeight="1" s="19"/>
    <row r="657" ht="15.75" customHeight="1" s="19"/>
    <row r="658" ht="15.75" customHeight="1" s="19"/>
    <row r="659" ht="15.75" customHeight="1" s="19"/>
    <row r="660" ht="15.75" customHeight="1" s="19"/>
    <row r="661" ht="15.75" customHeight="1" s="19"/>
    <row r="662" ht="15.75" customHeight="1" s="19"/>
    <row r="663" ht="15.75" customHeight="1" s="19"/>
    <row r="664" ht="15.75" customHeight="1" s="19"/>
    <row r="665" ht="15.75" customHeight="1" s="19"/>
    <row r="666" ht="15.75" customHeight="1" s="19"/>
    <row r="667" ht="15.75" customHeight="1" s="19"/>
    <row r="668" ht="15.75" customHeight="1" s="19"/>
    <row r="669" ht="15.75" customHeight="1" s="19"/>
    <row r="670" ht="15.75" customHeight="1" s="19"/>
    <row r="671" ht="15.75" customHeight="1" s="19"/>
    <row r="672" ht="15.75" customHeight="1" s="19"/>
    <row r="673" ht="15.75" customHeight="1" s="19"/>
    <row r="674" ht="15.75" customHeight="1" s="19"/>
    <row r="675" ht="15.75" customHeight="1" s="19"/>
    <row r="676" ht="15.75" customHeight="1" s="19"/>
    <row r="677" ht="15.75" customHeight="1" s="19"/>
    <row r="678" ht="15.75" customHeight="1" s="19"/>
    <row r="679" ht="15.75" customHeight="1" s="19"/>
    <row r="680" ht="15.75" customHeight="1" s="19"/>
    <row r="681" ht="15.75" customHeight="1" s="19"/>
    <row r="682" ht="15.75" customHeight="1" s="19"/>
    <row r="683" ht="15.75" customHeight="1" s="19"/>
    <row r="684" ht="15.75" customHeight="1" s="19"/>
    <row r="685" ht="15.75" customHeight="1" s="19"/>
    <row r="686" ht="15.75" customHeight="1" s="19"/>
    <row r="687" ht="15.75" customHeight="1" s="19"/>
    <row r="688" ht="15.75" customHeight="1" s="19"/>
    <row r="689" ht="15.75" customHeight="1" s="19"/>
    <row r="690" ht="15.75" customHeight="1" s="19"/>
    <row r="691" ht="15.75" customHeight="1" s="19"/>
    <row r="692" ht="15.75" customHeight="1" s="19"/>
    <row r="693" ht="15.75" customHeight="1" s="19"/>
    <row r="694" ht="15.75" customHeight="1" s="19"/>
    <row r="695" ht="15.75" customHeight="1" s="19"/>
    <row r="696" ht="15.75" customHeight="1" s="19"/>
    <row r="697" ht="15.75" customHeight="1" s="19"/>
    <row r="698" ht="15.75" customHeight="1" s="19"/>
    <row r="699" ht="15.75" customHeight="1" s="19"/>
    <row r="700" ht="15.75" customHeight="1" s="19"/>
    <row r="701" ht="15.75" customHeight="1" s="19"/>
    <row r="702" ht="15.75" customHeight="1" s="19"/>
    <row r="703" ht="15.75" customHeight="1" s="19"/>
    <row r="704" ht="15.75" customHeight="1" s="19"/>
    <row r="705" ht="15.75" customHeight="1" s="19"/>
    <row r="706" ht="15.75" customHeight="1" s="19"/>
    <row r="707" ht="15.75" customHeight="1" s="19"/>
    <row r="708" ht="15.75" customHeight="1" s="19"/>
    <row r="709" ht="15.75" customHeight="1" s="19"/>
    <row r="710" ht="15.75" customHeight="1" s="19"/>
    <row r="711" ht="15.75" customHeight="1" s="19"/>
    <row r="712" ht="15.75" customHeight="1" s="19"/>
    <row r="713" ht="15.75" customHeight="1" s="19"/>
    <row r="714" ht="15.75" customHeight="1" s="19"/>
    <row r="715" ht="15.75" customHeight="1" s="19"/>
    <row r="716" ht="15.75" customHeight="1" s="19"/>
    <row r="717" ht="15.75" customHeight="1" s="19"/>
    <row r="718" ht="15.75" customHeight="1" s="19"/>
    <row r="719" ht="15.75" customHeight="1" s="19"/>
    <row r="720" ht="15.75" customHeight="1" s="19"/>
    <row r="721" ht="15.75" customHeight="1" s="19"/>
    <row r="722" ht="15.75" customHeight="1" s="19"/>
    <row r="723" ht="15.75" customHeight="1" s="19"/>
    <row r="724" ht="15.75" customHeight="1" s="19"/>
    <row r="725" ht="15.75" customHeight="1" s="19"/>
    <row r="726" ht="15.75" customHeight="1" s="19"/>
    <row r="727" ht="15.75" customHeight="1" s="19"/>
    <row r="728" ht="15.75" customHeight="1" s="19"/>
    <row r="729" ht="15.75" customHeight="1" s="19"/>
    <row r="730" ht="15.75" customHeight="1" s="19"/>
    <row r="731" ht="15.75" customHeight="1" s="19"/>
    <row r="732" ht="15.75" customHeight="1" s="19"/>
    <row r="733" ht="15.75" customHeight="1" s="19"/>
    <row r="734" ht="15.75" customHeight="1" s="19"/>
    <row r="735" ht="15.75" customHeight="1" s="19"/>
    <row r="736" ht="15.75" customHeight="1" s="19"/>
    <row r="737" ht="15.75" customHeight="1" s="19"/>
    <row r="738" ht="15.75" customHeight="1" s="19"/>
    <row r="739" ht="15.75" customHeight="1" s="19"/>
    <row r="740" ht="15.75" customHeight="1" s="19"/>
    <row r="741" ht="15.75" customHeight="1" s="19"/>
    <row r="742" ht="15.75" customHeight="1" s="19"/>
    <row r="743" ht="15.75" customHeight="1" s="19"/>
    <row r="744" ht="15.75" customHeight="1" s="19"/>
    <row r="745" ht="15.75" customHeight="1" s="19"/>
    <row r="746" ht="15.75" customHeight="1" s="19"/>
    <row r="747" ht="15.75" customHeight="1" s="19"/>
    <row r="748" ht="15.75" customHeight="1" s="19"/>
    <row r="749" ht="15.75" customHeight="1" s="19"/>
    <row r="750" ht="15.75" customHeight="1" s="19"/>
    <row r="751" ht="15.75" customHeight="1" s="19"/>
    <row r="752" ht="15.75" customHeight="1" s="19"/>
    <row r="753" ht="15.75" customHeight="1" s="19"/>
    <row r="754" ht="15.75" customHeight="1" s="19"/>
    <row r="755" ht="15.75" customHeight="1" s="19"/>
    <row r="756" ht="15.75" customHeight="1" s="19"/>
    <row r="757" ht="15.75" customHeight="1" s="19"/>
    <row r="758" ht="15.75" customHeight="1" s="19"/>
    <row r="759" ht="15.75" customHeight="1" s="19"/>
    <row r="760" ht="15.75" customHeight="1" s="19"/>
    <row r="761" ht="15.75" customHeight="1" s="19"/>
    <row r="762" ht="15.75" customHeight="1" s="19"/>
    <row r="763" ht="15.75" customHeight="1" s="19"/>
    <row r="764" ht="15.75" customHeight="1" s="19"/>
    <row r="765" ht="15.75" customHeight="1" s="19"/>
    <row r="766" ht="15.75" customHeight="1" s="19"/>
    <row r="767" ht="15.75" customHeight="1" s="19"/>
    <row r="768" ht="15.75" customHeight="1" s="19"/>
    <row r="769" ht="15.75" customHeight="1" s="19"/>
    <row r="770" ht="15.75" customHeight="1" s="19"/>
    <row r="771" ht="15.75" customHeight="1" s="19"/>
    <row r="772" ht="15.75" customHeight="1" s="19"/>
    <row r="773" ht="15.75" customHeight="1" s="19"/>
    <row r="774" ht="15.75" customHeight="1" s="19"/>
    <row r="775" ht="15.75" customHeight="1" s="19"/>
    <row r="776" ht="15.75" customHeight="1" s="19"/>
    <row r="777" ht="15.75" customHeight="1" s="19"/>
    <row r="778" ht="15.75" customHeight="1" s="19"/>
    <row r="779" ht="15.75" customHeight="1" s="19"/>
    <row r="780" ht="15.75" customHeight="1" s="19"/>
    <row r="781" ht="15.75" customHeight="1" s="19"/>
    <row r="782" ht="15.75" customHeight="1" s="19"/>
    <row r="783" ht="15.75" customHeight="1" s="19"/>
    <row r="784" ht="15.75" customHeight="1" s="19"/>
    <row r="785" ht="15.75" customHeight="1" s="19"/>
    <row r="786" ht="15.75" customHeight="1" s="19"/>
    <row r="787" ht="15.75" customHeight="1" s="19"/>
    <row r="788" ht="15.75" customHeight="1" s="19"/>
    <row r="789" ht="15.75" customHeight="1" s="19"/>
    <row r="790" ht="15.75" customHeight="1" s="19"/>
    <row r="791" ht="15.75" customHeight="1" s="19"/>
    <row r="792" ht="15.75" customHeight="1" s="19"/>
    <row r="793" ht="15.75" customHeight="1" s="19"/>
    <row r="794" ht="15.75" customHeight="1" s="19"/>
    <row r="795" ht="15.75" customHeight="1" s="19"/>
    <row r="796" ht="15.75" customHeight="1" s="19"/>
    <row r="797" ht="15.75" customHeight="1" s="19"/>
    <row r="798" ht="15.75" customHeight="1" s="19"/>
    <row r="799" ht="15.75" customHeight="1" s="19"/>
    <row r="800" ht="15.75" customHeight="1" s="19"/>
    <row r="801" ht="15.75" customHeight="1" s="19"/>
    <row r="802" ht="15.75" customHeight="1" s="19"/>
    <row r="803" ht="15.75" customHeight="1" s="19"/>
    <row r="804" ht="15.75" customHeight="1" s="19"/>
    <row r="805" ht="15.75" customHeight="1" s="19"/>
    <row r="806" ht="15.75" customHeight="1" s="19"/>
    <row r="807" ht="15.75" customHeight="1" s="19"/>
    <row r="808" ht="15.75" customHeight="1" s="19"/>
    <row r="809" ht="15.75" customHeight="1" s="19"/>
    <row r="810" ht="15.75" customHeight="1" s="19"/>
    <row r="811" ht="15.75" customHeight="1" s="19"/>
    <row r="812" ht="15.75" customHeight="1" s="19"/>
    <row r="813" ht="15.75" customHeight="1" s="19"/>
    <row r="814" ht="15.75" customHeight="1" s="19"/>
    <row r="815" ht="15.75" customHeight="1" s="19"/>
    <row r="816" ht="15.75" customHeight="1" s="19"/>
    <row r="817" ht="15.75" customHeight="1" s="19"/>
    <row r="818" ht="15.75" customHeight="1" s="19"/>
    <row r="819" ht="15.75" customHeight="1" s="19"/>
    <row r="820" ht="15.75" customHeight="1" s="19"/>
    <row r="821" ht="15.75" customHeight="1" s="19"/>
    <row r="822" ht="15.75" customHeight="1" s="19"/>
    <row r="823" ht="15.75" customHeight="1" s="19"/>
    <row r="824" ht="15.75" customHeight="1" s="19"/>
    <row r="825" ht="15.75" customHeight="1" s="19"/>
    <row r="826" ht="15.75" customHeight="1" s="19"/>
    <row r="827" ht="15.75" customHeight="1" s="19"/>
    <row r="828" ht="15.75" customHeight="1" s="19"/>
    <row r="829" ht="15.75" customHeight="1" s="19"/>
    <row r="830" ht="15.75" customHeight="1" s="19"/>
    <row r="831" ht="15.75" customHeight="1" s="19"/>
    <row r="832" ht="15.75" customHeight="1" s="19"/>
    <row r="833" ht="15.75" customHeight="1" s="19"/>
    <row r="834" ht="15.75" customHeight="1" s="19"/>
    <row r="835" ht="15.75" customHeight="1" s="19"/>
    <row r="836" ht="15.75" customHeight="1" s="19"/>
    <row r="837" ht="15.75" customHeight="1" s="19"/>
    <row r="838" ht="15.75" customHeight="1" s="19"/>
    <row r="839" ht="15.75" customHeight="1" s="19"/>
    <row r="840" ht="15.75" customHeight="1" s="19"/>
    <row r="841" ht="15.75" customHeight="1" s="19"/>
    <row r="842" ht="15.75" customHeight="1" s="19"/>
    <row r="843" ht="15.75" customHeight="1" s="19"/>
    <row r="844" ht="15.75" customHeight="1" s="19"/>
    <row r="845" ht="15.75" customHeight="1" s="19"/>
    <row r="846" ht="15.75" customHeight="1" s="19"/>
    <row r="847" ht="15.75" customHeight="1" s="19"/>
    <row r="848" ht="15.75" customHeight="1" s="19"/>
    <row r="849" ht="15.75" customHeight="1" s="19"/>
    <row r="850" ht="15.75" customHeight="1" s="19"/>
    <row r="851" ht="15.75" customHeight="1" s="19"/>
    <row r="852" ht="15.75" customHeight="1" s="19"/>
    <row r="853" ht="15.75" customHeight="1" s="19"/>
    <row r="854" ht="15.75" customHeight="1" s="19"/>
    <row r="855" ht="15.75" customHeight="1" s="19"/>
    <row r="856" ht="15.75" customHeight="1" s="19"/>
    <row r="857" ht="15.75" customHeight="1" s="19"/>
    <row r="858" ht="15.75" customHeight="1" s="19"/>
    <row r="859" ht="15.75" customHeight="1" s="19"/>
    <row r="860" ht="15.75" customHeight="1" s="19"/>
    <row r="861" ht="15.75" customHeight="1" s="19"/>
    <row r="862" ht="15.75" customHeight="1" s="19"/>
    <row r="863" ht="15.75" customHeight="1" s="19"/>
    <row r="864" ht="15.75" customHeight="1" s="19"/>
    <row r="865" ht="15.75" customHeight="1" s="19"/>
    <row r="866" ht="15.75" customHeight="1" s="19"/>
    <row r="867" ht="15.75" customHeight="1" s="19"/>
    <row r="868" ht="15.75" customHeight="1" s="19"/>
    <row r="869" ht="15.75" customHeight="1" s="19"/>
    <row r="870" ht="15.75" customHeight="1" s="19"/>
    <row r="871" ht="15.75" customHeight="1" s="19"/>
    <row r="872" ht="15.75" customHeight="1" s="19"/>
    <row r="873" ht="15.75" customHeight="1" s="19"/>
    <row r="874" ht="15.75" customHeight="1" s="19"/>
    <row r="875" ht="15.75" customHeight="1" s="19"/>
    <row r="876" ht="15.75" customHeight="1" s="19"/>
    <row r="877" ht="15.75" customHeight="1" s="19"/>
    <row r="878" ht="15.75" customHeight="1" s="19"/>
    <row r="879" ht="15.75" customHeight="1" s="19"/>
    <row r="880" ht="15.75" customHeight="1" s="19"/>
    <row r="881" ht="15.75" customHeight="1" s="19"/>
    <row r="882" ht="15.75" customHeight="1" s="19"/>
    <row r="883" ht="15.75" customHeight="1" s="19"/>
    <row r="884" ht="15.75" customHeight="1" s="19"/>
    <row r="885" ht="15.75" customHeight="1" s="19"/>
    <row r="886" ht="15.75" customHeight="1" s="19"/>
    <row r="887" ht="15.75" customHeight="1" s="19"/>
    <row r="888" ht="15.75" customHeight="1" s="19"/>
    <row r="889" ht="15.75" customHeight="1" s="19"/>
    <row r="890" ht="15.75" customHeight="1" s="19"/>
    <row r="891" ht="15.75" customHeight="1" s="19"/>
    <row r="892" ht="15.75" customHeight="1" s="19"/>
    <row r="893" ht="15.75" customHeight="1" s="19"/>
    <row r="894" ht="15.75" customHeight="1" s="19"/>
    <row r="895" ht="15.75" customHeight="1" s="19"/>
    <row r="896" ht="15.75" customHeight="1" s="19"/>
    <row r="897" ht="15.75" customHeight="1" s="19"/>
    <row r="898" ht="15.75" customHeight="1" s="19"/>
    <row r="899" ht="15.75" customHeight="1" s="19"/>
    <row r="900" ht="15.75" customHeight="1" s="19"/>
    <row r="901" ht="15.75" customHeight="1" s="19"/>
    <row r="902" ht="15.75" customHeight="1" s="19"/>
    <row r="903" ht="15.75" customHeight="1" s="19"/>
    <row r="904" ht="15.75" customHeight="1" s="19"/>
    <row r="905" ht="15.75" customHeight="1" s="19"/>
    <row r="906" ht="15.75" customHeight="1" s="19"/>
    <row r="907" ht="15.75" customHeight="1" s="19"/>
    <row r="908" ht="15.75" customHeight="1" s="19"/>
    <row r="909" ht="15.75" customHeight="1" s="19"/>
    <row r="910" ht="15.75" customHeight="1" s="19"/>
    <row r="911" ht="15.75" customHeight="1" s="19"/>
    <row r="912" ht="15.75" customHeight="1" s="19"/>
    <row r="913" ht="15.75" customHeight="1" s="19"/>
    <row r="914" ht="15.75" customHeight="1" s="19"/>
    <row r="915" ht="15.75" customHeight="1" s="19"/>
    <row r="916" ht="15.75" customHeight="1" s="19"/>
    <row r="917" ht="15.75" customHeight="1" s="19"/>
    <row r="918" ht="15.75" customHeight="1" s="19"/>
    <row r="919" ht="15.75" customHeight="1" s="19"/>
    <row r="920" ht="15.75" customHeight="1" s="19"/>
    <row r="921" ht="15.75" customHeight="1" s="19"/>
    <row r="922" ht="15.75" customHeight="1" s="19"/>
    <row r="923" ht="15.75" customHeight="1" s="19"/>
    <row r="924" ht="15.75" customHeight="1" s="19"/>
    <row r="925" ht="15.75" customHeight="1" s="19"/>
    <row r="926" ht="15.75" customHeight="1" s="19"/>
    <row r="927" ht="15.75" customHeight="1" s="19"/>
    <row r="928" ht="15.75" customHeight="1" s="19"/>
    <row r="929" ht="15.75" customHeight="1" s="19"/>
    <row r="930" ht="15.75" customHeight="1" s="19"/>
    <row r="931" ht="15.75" customHeight="1" s="19"/>
    <row r="932" ht="15.75" customHeight="1" s="19"/>
    <row r="933" ht="15.75" customHeight="1" s="19"/>
    <row r="934" ht="15.75" customHeight="1" s="19"/>
    <row r="935" ht="15.75" customHeight="1" s="19"/>
    <row r="936" ht="15.75" customHeight="1" s="19"/>
    <row r="937" ht="15.75" customHeight="1" s="19"/>
    <row r="938" ht="15.75" customHeight="1" s="19"/>
    <row r="939" ht="15.75" customHeight="1" s="19"/>
    <row r="940" ht="15.75" customHeight="1" s="19"/>
    <row r="941" ht="15.75" customHeight="1" s="19"/>
    <row r="942" ht="15.75" customHeight="1" s="19"/>
    <row r="943" ht="15.75" customHeight="1" s="19"/>
    <row r="944" ht="15.75" customHeight="1" s="19"/>
    <row r="945" ht="15.75" customHeight="1" s="19"/>
    <row r="946" ht="15.75" customHeight="1" s="19"/>
    <row r="947" ht="15.75" customHeight="1" s="19"/>
    <row r="948" ht="15.75" customHeight="1" s="19"/>
    <row r="949" ht="15.75" customHeight="1" s="19"/>
    <row r="950" ht="15.75" customHeight="1" s="19"/>
    <row r="951" ht="15.75" customHeight="1" s="19"/>
    <row r="952" ht="15.75" customHeight="1" s="19"/>
    <row r="953" ht="15.75" customHeight="1" s="19"/>
    <row r="954" ht="15.75" customHeight="1" s="19"/>
    <row r="955" ht="15.75" customHeight="1" s="19"/>
    <row r="956" ht="15.75" customHeight="1" s="19"/>
    <row r="957" ht="15.75" customHeight="1" s="19"/>
    <row r="958" ht="15.75" customHeight="1" s="19"/>
    <row r="959" ht="15.75" customHeight="1" s="19"/>
    <row r="960" ht="15.75" customHeight="1" s="19"/>
    <row r="961" ht="15.75" customHeight="1" s="19"/>
    <row r="962" ht="15.75" customHeight="1" s="19"/>
    <row r="963" ht="15.75" customHeight="1" s="19"/>
    <row r="964" ht="15.75" customHeight="1" s="19"/>
    <row r="965" ht="15.75" customHeight="1" s="19"/>
    <row r="966" ht="15.75" customHeight="1" s="19"/>
    <row r="967" ht="15.75" customHeight="1" s="19"/>
    <row r="968" ht="15.75" customHeight="1" s="19"/>
    <row r="969" ht="15.75" customHeight="1" s="19"/>
    <row r="970" ht="15.75" customHeight="1" s="19"/>
    <row r="971" ht="15.75" customHeight="1" s="19"/>
    <row r="972" ht="15.75" customHeight="1" s="19"/>
    <row r="973" ht="15.75" customHeight="1" s="19"/>
    <row r="974" ht="15.75" customHeight="1" s="19"/>
    <row r="975" ht="15.75" customHeight="1" s="19"/>
    <row r="976" ht="15.75" customHeight="1" s="19"/>
    <row r="977" ht="15.75" customHeight="1" s="19"/>
    <row r="978" ht="15.75" customHeight="1" s="19"/>
    <row r="979" ht="15.75" customHeight="1" s="19"/>
    <row r="980" ht="15.75" customHeight="1" s="19"/>
    <row r="981" ht="15.75" customHeight="1" s="19"/>
    <row r="982" ht="15.75" customHeight="1" s="19"/>
    <row r="983" ht="15.75" customHeight="1" s="19"/>
    <row r="984" ht="15.75" customHeight="1" s="19"/>
    <row r="985" ht="15.75" customHeight="1" s="19"/>
    <row r="986" ht="15.75" customHeight="1" s="19"/>
    <row r="987" ht="15.75" customHeight="1" s="19"/>
    <row r="988" ht="15.75" customHeight="1" s="19"/>
    <row r="989" ht="15.75" customHeight="1" s="19"/>
    <row r="990" ht="15.75" customHeight="1" s="19"/>
    <row r="991" ht="15.75" customHeight="1" s="19"/>
    <row r="992" ht="15.75" customHeight="1" s="19"/>
    <row r="993" ht="15.75" customHeight="1" s="19"/>
    <row r="994" ht="15.75" customHeight="1" s="19"/>
    <row r="995" ht="15.75" customHeight="1" s="19"/>
    <row r="996" ht="15.75" customHeight="1" s="19"/>
    <row r="997" ht="15.75" customHeight="1" s="19"/>
    <row r="998" ht="15.75" customHeight="1" s="19"/>
    <row r="999" ht="15.75" customHeight="1" s="19"/>
    <row r="1000" ht="15.75" customHeight="1" s="19"/>
  </sheetData>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P31"/>
  <sheetViews>
    <sheetView showGridLines="0" workbookViewId="0">
      <pane xSplit="5" ySplit="4" topLeftCell="F5" activePane="bottomRight" state="frozen"/>
      <selection pane="topRight" activeCell="F1" sqref="F1"/>
      <selection pane="bottomLeft" activeCell="A5" sqref="A5"/>
      <selection pane="bottomRight" activeCell="F5" sqref="F5"/>
    </sheetView>
  </sheetViews>
  <sheetFormatPr baseColWidth="8" defaultColWidth="14.43" defaultRowHeight="15" customHeight="1"/>
  <cols>
    <col width="8" customWidth="1" style="19" min="1" max="1"/>
    <col width="25" customWidth="1" style="19" min="2" max="2"/>
    <col width="45" customWidth="1" style="19" min="3" max="3"/>
    <col width="35" customWidth="1" style="19" min="4" max="5"/>
    <col width="12" customWidth="1" style="19" min="6" max="6"/>
    <col width="14" customWidth="1" style="19" min="7" max="7"/>
    <col width="12" customWidth="1" style="19" min="8" max="8"/>
    <col width="14" customWidth="1" style="19" min="9" max="9"/>
    <col width="12" customWidth="1" style="19" min="10" max="10"/>
    <col width="14" customWidth="1" style="19" min="11" max="11"/>
    <col width="15" customWidth="1" style="19" min="12" max="12"/>
    <col width="22" customWidth="1" style="19" min="13" max="13"/>
    <col width="15" customWidth="1" style="19" min="14" max="14"/>
    <col width="45" customWidth="1" style="19" min="15" max="15"/>
    <col width="35" customWidth="1" style="19" min="16" max="16"/>
    <col width="8.710000000000001" customWidth="1" style="19" min="17" max="26"/>
  </cols>
  <sheetData>
    <row r="1">
      <c r="A1" s="1" t="inlineStr">
        <is>
          <t>Digital SAT Practice Test - October 2026: Reading &amp; Writing Module 1</t>
        </is>
      </c>
    </row>
    <row r="2">
      <c r="A2" s="2" t="inlineStr">
        <is>
          <t>Chiến thuật: Tự thử sức ở Lần 1 (Cột F) -&gt; Nhận phản hồi tự động &amp; Gợi ý định hướng logic mà không làm lộ đáp án.</t>
        </is>
      </c>
    </row>
    <row r="4" ht="27.75" customHeight="1" s="19">
      <c r="A4" s="3" t="inlineStr">
        <is>
          <t>Q#</t>
        </is>
      </c>
      <c r="B4" s="3" t="inlineStr">
        <is>
          <t>Topic / Skill Focus</t>
        </is>
      </c>
      <c r="C4" s="3" t="inlineStr">
        <is>
          <t>Passage &amp; Context</t>
        </is>
      </c>
      <c r="D4" s="3" t="inlineStr">
        <is>
          <t>Question Prompt / Calculator</t>
        </is>
      </c>
      <c r="E4" s="3" t="inlineStr">
        <is>
          <t>Options / Choices (No Answer)</t>
        </is>
      </c>
      <c r="F4" s="3" t="inlineStr">
        <is>
          <t>Lần thử 1</t>
        </is>
      </c>
      <c r="G4" s="3" t="inlineStr">
        <is>
          <t>Kết quả L1</t>
        </is>
      </c>
      <c r="H4" s="3" t="inlineStr">
        <is>
          <t>Lần thử 2</t>
        </is>
      </c>
      <c r="I4" s="3" t="inlineStr">
        <is>
          <t>Kết quả L2</t>
        </is>
      </c>
      <c r="J4" s="3" t="inlineStr">
        <is>
          <t>Lần thử 3</t>
        </is>
      </c>
      <c r="K4" s="3" t="inlineStr">
        <is>
          <t>Kết quả L3</t>
        </is>
      </c>
      <c r="L4" s="3" t="inlineStr">
        <is>
          <t>Tổng số cột Sai</t>
        </is>
      </c>
      <c r="M4" s="3" t="inlineStr">
        <is>
          <t>Trạng thái Hoàn thành</t>
        </is>
      </c>
      <c r="N4" s="3" t="inlineStr">
        <is>
          <t>Hiệu suất (%)</t>
        </is>
      </c>
      <c r="O4" s="3" t="inlineStr">
        <is>
          <t>Hint / Gợi ý Đa tầng (Không đáp án)</t>
        </is>
      </c>
      <c r="P4" s="3" t="inlineStr">
        <is>
          <t>Strategic Tip / Formula</t>
        </is>
      </c>
    </row>
    <row r="5">
      <c r="A5" s="7" t="inlineStr">
        <is>
          <t>Q1</t>
        </is>
      </c>
      <c r="B5" s="5" t="inlineStr">
        <is>
          <t>Vocabulary in Context (Precision)</t>
        </is>
      </c>
      <c r="C5" s="5" t="inlineStr">
        <is>
          <t>______ the source of a malfunction in a complex electrical system can be a painstaking, time-consuming process: a repair technician may need to test each individual component one by one until the specific part causing the problematic behavior is identified.</t>
        </is>
      </c>
      <c r="D5" s="5" t="inlineStr">
        <is>
          <t>Which choice completes the text with the most logical and precise word or phrase?</t>
        </is>
      </c>
      <c r="E5" s="5" t="inlineStr">
        <is>
          <t>A. Lựa chọn A
B. Lựa chọn B
C. Lựa chọn C
D. Lựa chọn D</t>
        </is>
      </c>
      <c r="F5" s="14" t="n"/>
      <c r="G5" s="7">
        <f>IF(ISBLANK(F5), "⏳ Chờ đáp án", IF(UPPER(TRIM(F5))="B", "✅ Đúng", "❌ Sai"))</f>
        <v/>
      </c>
      <c r="H5" s="14" t="n"/>
      <c r="I5" s="7">
        <f>IF(ISBLANK(H5), "", IF(UPPER(TRIM(H5))="B", "✅ Đúng", "❌ Sai"))</f>
        <v/>
      </c>
      <c r="J5" s="14" t="n"/>
      <c r="K5" s="7">
        <f>IF(ISBLANK(J5), "", IF(UPPER(TRIM(J5))="B", "✅ Đúng", "❌ Sai"))</f>
        <v/>
      </c>
      <c r="L5" s="7">
        <f>COUNTIF(G5, "❌ Sai") + COUNTIF(I5, "❌ Sai") + COUNTIF(K5, "❌ Sai")</f>
        <v/>
      </c>
      <c r="M5" s="7">
        <f>IF(ISBLANK(F5), "⏳ Chờ làm", IF(G5="✅ Đúng", "✅ Đúng ngay L1", IF(I5="✅ Đúng", "✅ Đúng ở L2", IF(K5="✅ Đúng", "✅ Đúng ở L3", "❌ Chưa đúng sau 3 lần"))))</f>
        <v/>
      </c>
      <c r="N5" s="13">
        <f>IF(G5="✅ Đúng", 1, IF(I5="✅ Đúng", 0.667, IF(K5="✅ Đúng", 0.333, 0)))</f>
        <v/>
      </c>
      <c r="O5" s="5">
        <f>IF(ISBLANK(F5), "💡 Nhập đáp án vào Lần thử 1", IF(OR(G5="✅ Đúng", I5="✅ Đúng", K5="✅ Đúng"), "✨ Xuất sắc! Bạn đã làm đúng.", IF(NOT(ISBLANK(J5)), "💡 Gợi ý Tầng 3 (Chốt phương pháp): " &amp; "Loại trừ các từ mang nghĩa tạo mới hay điều chỉnh chung; chọn động từ chỉ việc cô lập/xác định nguyên nhân đơn lẻ.", IF(NOT(ISBLANK(H5)), "💡 Gợi ý Tầng 2 (Manh mối cấu trúc &amp; Loại trừ): " &amp; "Chú ý cụm từ 'test each individual component one by one' thể hiện việc khoanh vùng chính xác bộ phận lỗi.", "💡 Gợi ý Tầng 1 (Định hướng bối cảnh): " &amp; "Xác định vai trò của động từ cần điền trong bối cảnh kỹ thuật sửa chữa hệ thống điện."))))</f>
        <v/>
      </c>
      <c r="P5" s="5">
        <f>IF(OR(G5="✅ Đúng", I5="✅ Đúng", K5="✅ Đúng"), "Isolating = identifying/singling out the specific cause of a problem.", "🔒 Trả lời đúng để mở khóa Strategic Tip!")</f>
        <v/>
      </c>
    </row>
    <row r="6">
      <c r="A6" s="7" t="inlineStr">
        <is>
          <t>Q2</t>
        </is>
      </c>
      <c r="B6" s="5" t="inlineStr">
        <is>
          <t>Vocabulary in Context (Biological Processes)</t>
        </is>
      </c>
      <c r="C6" s="5" t="inlineStr">
        <is>
          <t>Single-celled foraminifera inhabiting coastal waters experience significant environmental salinity changes during tidal cycles. How, then, do they ______ internal salt levels? Some organisms maintain high concentrations of phosphates that allow them to affect the concentration of internal electrolytes— including salt—in response to external changes. It may be that coastal foraminifera do the same.</t>
        </is>
      </c>
      <c r="D6" s="5" t="inlineStr">
        <is>
          <t>Which choice completes the text with the most logical and precise word or phrase?</t>
        </is>
      </c>
      <c r="E6" s="5" t="inlineStr">
        <is>
          <t>A. Lựa chọn A
B. Lựa chọn B
C. Lựa chọn C
D. Lựa chọn D</t>
        </is>
      </c>
      <c r="F6" s="14" t="n"/>
      <c r="G6" s="7">
        <f>IF(ISBLANK(F6), "⏳ Chờ đáp án", IF(UPPER(TRIM(F6))="D", "✅ Đúng", "❌ Sai"))</f>
        <v/>
      </c>
      <c r="H6" s="14" t="n"/>
      <c r="I6" s="7">
        <f>IF(ISBLANK(H6), "", IF(UPPER(TRIM(H6))="D", "✅ Đúng", "❌ Sai"))</f>
        <v/>
      </c>
      <c r="J6" s="14" t="n"/>
      <c r="K6" s="7">
        <f>IF(ISBLANK(J6), "", IF(UPPER(TRIM(J6))="D", "✅ Đúng", "❌ Sai"))</f>
        <v/>
      </c>
      <c r="L6" s="7">
        <f>COUNTIF(G6, "❌ Sai") + COUNTIF(I6, "❌ Sai") + COUNTIF(K6, "❌ Sai")</f>
        <v/>
      </c>
      <c r="M6" s="7">
        <f>IF(ISBLANK(F6), "⏳ Chờ làm", IF(G6="✅ Đúng", "✅ Đúng ngay L1", IF(I6="✅ Đúng", "✅ Đúng ở L2", IF(K6="✅ Đúng", "✅ Đúng ở L3", "❌ Chưa đúng sau 3 lần"))))</f>
        <v/>
      </c>
      <c r="N6" s="13">
        <f>IF(G6="✅ Đúng", 1, IF(I6="✅ Đúng", 0.667, IF(K6="✅ Đúng", 0.333, 0)))</f>
        <v/>
      </c>
      <c r="O6" s="5">
        <f>IF(ISBLANK(F6), "💡 Nhập đáp án vào Lần thử 1", IF(OR(G6="✅ Đúng", I6="✅ Đúng", K6="✅ Đúng"), "✨ Xuất sắc! Bạn đã làm đúng.", IF(NOT(ISBLANK(J6)), "💡 Gợi ý Tầng 3 (Chốt phương pháp): " &amp; "Loại bỏ các động từ mang nghĩa phá hủy hay làm xáo trộn; tìm từ chỉ sự điều hòa/kiểm soát sinh học.", IF(NOT(ISBLANK(H6)), "💡 Gợi ý Tầng 2 (Manh mối cấu trúc &amp; Loại trừ): " &amp; "Cần một động từ miêu tả việc kiểm soát và duy trì mức độ ổn định của nồng độ muối.", "💡 Gợi ý Tầng 1 (Định hướng bối cảnh): " &amp; "Phân tích cơ chế sinh học điều chỉnh độ mặn nội bào của loài cá ngừ được miêu tả."))))</f>
        <v/>
      </c>
      <c r="P6" s="5">
        <f>IF(OR(G6="✅ Đúng", I6="✅ Đúng", K6="✅ Đúng"), "Regulate = control or maintain at a steady level.", "🔒 Trả lời đúng để mở khóa Strategic Tip!")</f>
        <v/>
      </c>
    </row>
    <row r="7">
      <c r="A7" s="7" t="inlineStr">
        <is>
          <t>Q3</t>
        </is>
      </c>
      <c r="B7" s="5" t="inlineStr">
        <is>
          <t>Vocabulary in Context (Research Approaches)</t>
        </is>
      </c>
      <c r="C7" s="5" t="inlineStr">
        <is>
          <t>Though most studies of the effect of altitude on blood chemistry usually concentrate on people who live above sea level, researchers Suleiman A. Al-Sweedan and Moath Alhaj have instead chosen the ______ path in their recent work of studying the blood of people who live below sea level, in locations such as the California towns of Westmorland and Thermal.</t>
        </is>
      </c>
      <c r="D7" s="5" t="inlineStr">
        <is>
          <t>Which choice completes the text with the most logical and precise word or phrase?</t>
        </is>
      </c>
      <c r="E7" s="5" t="inlineStr">
        <is>
          <t>A. Lựa chọn A
B. Lựa chọn B
C. Lựa chọn C
D. Lựa chọn D</t>
        </is>
      </c>
      <c r="F7" s="14" t="n"/>
      <c r="G7" s="7">
        <f>IF(ISBLANK(F7), "⏳ Chờ đáp án", IF(UPPER(TRIM(F7))="B", "✅ Đúng", "❌ Sai"))</f>
        <v/>
      </c>
      <c r="H7" s="14" t="n"/>
      <c r="I7" s="7">
        <f>IF(ISBLANK(H7), "", IF(UPPER(TRIM(H7))="B", "✅ Đúng", "❌ Sai"))</f>
        <v/>
      </c>
      <c r="J7" s="14" t="n"/>
      <c r="K7" s="7">
        <f>IF(ISBLANK(J7), "", IF(UPPER(TRIM(J7))="B", "✅ Đúng", "❌ Sai"))</f>
        <v/>
      </c>
      <c r="L7" s="7">
        <f>COUNTIF(G7, "❌ Sai") + COUNTIF(I7, "❌ Sai") + COUNTIF(K7, "❌ Sai")</f>
        <v/>
      </c>
      <c r="M7" s="7">
        <f>IF(ISBLANK(F7), "⏳ Chờ làm", IF(G7="✅ Đúng", "✅ Đúng ngay L1", IF(I7="✅ Đúng", "✅ Đúng ở L2", IF(K7="✅ Đúng", "✅ Đúng ở L3", "❌ Chưa đúng sau 3 lần"))))</f>
        <v/>
      </c>
      <c r="N7" s="13">
        <f>IF(G7="✅ Đúng", 1, IF(I7="✅ Đúng", 0.667, IF(K7="✅ Đúng", 0.333, 0)))</f>
        <v/>
      </c>
      <c r="O7" s="5">
        <f>IF(ISBLANK(F7), "💡 Nhập đáp án vào Lần thử 1", IF(OR(G7="✅ Đúng", I7="✅ Đúng", K7="✅ Đúng"), "✨ Xuất sắc! Bạn đã làm đúng.", IF(NOT(ISBLANK(J7)), "💡 Gợi ý Tầng 3 (Chốt phương pháp): " &amp; "Cần từ miêu tả phương pháp làm việc khác biệt, đi ngược hoặc khác với lối tư duy truyền thống.", IF(NOT(ISBLANK(H7)), "💡 Gợi ý Tầng 2 (Manh mối cấu trúc &amp; Loại trừ): " &amp; "Chú ý từ nối hoặc ngữ cảnh đối lập giữa việc nghiên cứu trên đất liền và độ sâu dưới mực nước biển.", "💡 Gợi ý Tầng 1 (Định hướng bối cảnh): " &amp; "Phân tích hướng tiếp cận nghiên cứu của nhóm tác giả đối với môi trường đại dương."))))</f>
        <v/>
      </c>
      <c r="P7" s="5">
        <f>IF(OR(G7="✅ Đúng", I7="✅ Đúng", K7="✅ Đúng"), "Innovative = introducing new, original, or unusual methods.", "🔒 Trả lời đúng để mở khóa Strategic Tip!")</f>
        <v/>
      </c>
    </row>
    <row r="8">
      <c r="A8" s="7" t="inlineStr">
        <is>
          <t>Q4</t>
        </is>
      </c>
      <c r="B8" s="5" t="inlineStr">
        <is>
          <t>Vocabulary in Context (Sufficiency)</t>
        </is>
      </c>
      <c r="C8" s="5" t="inlineStr">
        <is>
          <t>While once ______, basic computer security training that only teaches recognition of obvious scams cannot provide enough protection against today’s sophisticated fake emails, which employ such subtle deception techniques that many organizations now require their staff to complete comprehensive cybersecurity education programs.</t>
        </is>
      </c>
      <c r="D8" s="5" t="inlineStr">
        <is>
          <t>Which choice completes the text with the most logical and precise word or phrase?</t>
        </is>
      </c>
      <c r="E8" s="5" t="inlineStr">
        <is>
          <t>A. Lựa chọn A
B. Lựa chọn B
C. Lựa chọn C
D. Lựa chọn D</t>
        </is>
      </c>
      <c r="F8" s="14" t="n"/>
      <c r="G8" s="7">
        <f>IF(ISBLANK(F8), "⏳ Chờ đáp án", IF(UPPER(TRIM(F8))="C", "✅ Đúng", "❌ Sai"))</f>
        <v/>
      </c>
      <c r="H8" s="14" t="n"/>
      <c r="I8" s="7">
        <f>IF(ISBLANK(H8), "", IF(UPPER(TRIM(H8))="C", "✅ Đúng", "❌ Sai"))</f>
        <v/>
      </c>
      <c r="J8" s="14" t="n"/>
      <c r="K8" s="7">
        <f>IF(ISBLANK(J8), "", IF(UPPER(TRIM(J8))="C", "✅ Đúng", "❌ Sai"))</f>
        <v/>
      </c>
      <c r="L8" s="7">
        <f>COUNTIF(G8, "❌ Sai") + COUNTIF(I8, "❌ Sai") + COUNTIF(K8, "❌ Sai")</f>
        <v/>
      </c>
      <c r="M8" s="7">
        <f>IF(ISBLANK(F8), "⏳ Chờ làm", IF(G8="✅ Đúng", "✅ Đúng ngay L1", IF(I8="✅ Đúng", "✅ Đúng ở L2", IF(K8="✅ Đúng", "✅ Đúng ở L3", "❌ Chưa đúng sau 3 lần"))))</f>
        <v/>
      </c>
      <c r="N8" s="13">
        <f>IF(G8="✅ Đúng", 1, IF(I8="✅ Đúng", 0.667, IF(K8="✅ Đúng", 0.333, 0)))</f>
        <v/>
      </c>
      <c r="O8" s="5">
        <f>IF(ISBLANK(F8), "💡 Nhập đáp án vào Lần thử 1", IF(OR(G8="✅ Đúng", I8="✅ Đúng", K8="✅ Đúng"), "✨ Xuất sắc! Bạn đã làm đúng.", IF(NOT(ISBLANK(J8)), "💡 Gợi ý Tầng 3 (Chốt phương pháp): " &amp; "Chọn từ miêu tả sự đầy đủ/thỏa đáng; loại các từ mang nghĩa thái quá hoặc không đủ.", IF(NOT(ISBLANK(H8)), "💡 Gợi ý Tầng 2 (Manh mối cấu trúc &amp; Loại trừ): " &amp; "Chú ý vế đối lập phía sau về các đòn tấn công tinh vi đòi hỏi cấp độ bảo vệ cao hơn.", "💡 Gợi ý Tầng 1 (Định hướng bối cảnh): " &amp; "Đọc kỹ câu văn để xác định mức độ hoặc giới hạn bảo vệ của việc đào tạo cơ bản."))))</f>
        <v/>
      </c>
      <c r="P8" s="5">
        <f>IF(OR(G8="✅ Đúng", I8="✅ Đúng", K8="✅ Đúng"), "Sufficient = adequate or enough for a specific requirement.", "🔒 Trả lời đúng để mở khóa Strategic Tip!")</f>
        <v/>
      </c>
    </row>
    <row r="9">
      <c r="A9" s="7" t="inlineStr">
        <is>
          <t>Q5</t>
        </is>
      </c>
      <c r="B9" s="5" t="inlineStr">
        <is>
          <t>Text Structure &amp; Overall Purpose</t>
        </is>
      </c>
      <c r="C9" s="5" t="inlineStr">
        <is>
          <t>What is a city? The answer depends on where you live! Many countries define an area as a city based on how many people live there. However, not every country uses the same numbers. Iceland defines a city as an area with a population of at least 200, while the Netherlands defines a city as having a minimum population of 20,000. Some countries even define cities using other factors, like if there is a local government.</t>
        </is>
      </c>
      <c r="D9" s="5" t="inlineStr">
        <is>
          <t>Which choice best describes the overall structure of the text?</t>
        </is>
      </c>
      <c r="E9" s="5" t="inlineStr">
        <is>
          <t>A. Lựa chọn A
B. Lựa chọn B
C. Lựa chọn C
D. Lựa chọn D</t>
        </is>
      </c>
      <c r="F9" s="14" t="n"/>
      <c r="G9" s="7">
        <f>IF(ISBLANK(F9), "⏳ Chờ đáp án", IF(UPPER(TRIM(F9))="B", "✅ Đúng", "❌ Sai"))</f>
        <v/>
      </c>
      <c r="H9" s="14" t="n"/>
      <c r="I9" s="7">
        <f>IF(ISBLANK(H9), "", IF(UPPER(TRIM(H9))="B", "✅ Đúng", "❌ Sai"))</f>
        <v/>
      </c>
      <c r="J9" s="14" t="n"/>
      <c r="K9" s="7">
        <f>IF(ISBLANK(J9), "", IF(UPPER(TRIM(J9))="B", "✅ Đúng", "❌ Sai"))</f>
        <v/>
      </c>
      <c r="L9" s="7">
        <f>COUNTIF(G9, "❌ Sai") + COUNTIF(I9, "❌ Sai") + COUNTIF(K9, "❌ Sai")</f>
        <v/>
      </c>
      <c r="M9" s="7">
        <f>IF(ISBLANK(F9), "⏳ Chờ làm", IF(G9="✅ Đúng", "✅ Đúng ngay L1", IF(I9="✅ Đúng", "✅ Đúng ở L2", IF(K9="✅ Đúng", "✅ Đúng ở L3", "❌ Chưa đúng sau 3 lần"))))</f>
        <v/>
      </c>
      <c r="N9" s="13">
        <f>IF(G9="✅ Đúng", 1, IF(I9="✅ Đúng", 0.667, IF(K9="✅ Đúng", 0.333, 0)))</f>
        <v/>
      </c>
      <c r="O9" s="5">
        <f>IF(ISBLANK(F9), "💡 Nhập đáp án vào Lần thử 1", IF(OR(G9="✅ Đúng", I9="✅ Đúng", K9="✅ Đúng"), "✨ Xuất sắc! Bạn đã làm đúng.", IF(NOT(ISBLANK(J9)), "💡 Gợi ý Tầng 3 (Chốt phương pháp): " &amp; "Mục đích chính là trình bày các quan điểm đa dạng về một khái niệm thay vì chỉ bảo vệ một góc nhìn duy nhất.", IF(NOT(ISBLANK(H9)), "💡 Gợi ý Tầng 2 (Manh mối cấu trúc &amp; Loại trừ): " &amp; "Bài đọc bắt đầu bằng câu hỏi 'What is a city?' và đưa ra các góc nhìn định nghĩa khác nhau.", "💡 Gợi ý Tầng 1 (Định hướng bối cảnh): " &amp; "Xác định cấu trúc tổng thể của bài đọc từ câu hỏi mở đầu đến các câu tiếp theo."))))</f>
        <v/>
      </c>
      <c r="P9" s="5">
        <f>IF(OR(G9="✅ Đúng", I9="✅ Đúng", K9="✅ Đúng"), "Mô hình cấu trúc: Question -&gt; Multiple Explanations/Answers.", "🔒 Trả lời đúng để mở khóa Strategic Tip!")</f>
        <v/>
      </c>
    </row>
    <row r="10">
      <c r="A10" s="7" t="inlineStr">
        <is>
          <t>Q6</t>
        </is>
      </c>
      <c r="B10" s="5" t="inlineStr">
        <is>
          <t>Main Purpose (Literary Narrative)</t>
        </is>
      </c>
      <c r="C10" s="5" t="inlineStr">
        <is>
          <t>The following text is adapted from the 1940 novel The Hamlet by William Faulkner. In rural Mississippi, a man is riding a horse toward the residence of someone he intends to meet with about a business matter. He was breathing hard but not because he had been galloping. On the contrary, since he had approached near enough to his destination to believe he could have seen smoke if there had been smoke, he had ridden slower and slower. Nevertheless he now sat the horse before the gap in the fence, breathing hard enough through his nose and even sweating a little, looking at the sagging broken-backed cabin set in its inevitable treeless and grassless plot and weathered to the color of an old bee-hive, with that expression of tense and rapid speculation of a man approaching a dud howitzer [artillery] shell.
©1967 by Estelle Faulkner and Jill Faulkner Summers</t>
        </is>
      </c>
      <c r="D10" s="5" t="inlineStr">
        <is>
          <t>Which choice best states the main purpose of the text?</t>
        </is>
      </c>
      <c r="E10" s="5" t="inlineStr">
        <is>
          <t>A. Lựa chọn A
B. Lựa chọn B
C. Lựa chọn C
D. Lựa chọn D</t>
        </is>
      </c>
      <c r="F10" s="14" t="n"/>
      <c r="G10" s="7">
        <f>IF(ISBLANK(F10), "⏳ Chờ đáp án", IF(UPPER(TRIM(F10))="D", "✅ Đúng", "❌ Sai"))</f>
        <v/>
      </c>
      <c r="H10" s="14" t="n"/>
      <c r="I10" s="7">
        <f>IF(ISBLANK(H10), "", IF(UPPER(TRIM(H10))="D", "✅ Đúng", "❌ Sai"))</f>
        <v/>
      </c>
      <c r="J10" s="14" t="n"/>
      <c r="K10" s="7">
        <f>IF(ISBLANK(J10), "", IF(UPPER(TRIM(J10))="D", "✅ Đúng", "❌ Sai"))</f>
        <v/>
      </c>
      <c r="L10" s="7">
        <f>COUNTIF(G10, "❌ Sai") + COUNTIF(I10, "❌ Sai") + COUNTIF(K10, "❌ Sai")</f>
        <v/>
      </c>
      <c r="M10" s="7">
        <f>IF(ISBLANK(F10), "⏳ Chờ làm", IF(G10="✅ Đúng", "✅ Đúng ngay L1", IF(I10="✅ Đúng", "✅ Đúng ở L2", IF(K10="✅ Đúng", "✅ Đúng ở L3", "❌ Chưa đúng sau 3 lần"))))</f>
        <v/>
      </c>
      <c r="N10" s="13">
        <f>IF(G10="✅ Đúng", 1, IF(I10="✅ Đúng", 0.667, IF(K10="✅ Đúng", 0.333, 0)))</f>
        <v/>
      </c>
      <c r="O10" s="5">
        <f>IF(ISBLANK(F10), "💡 Nhập đáp án vào Lần thử 1", IF(OR(G10="✅ Đúng", I10="✅ Đúng", K10="✅ Đúng"), "✨ Xuất sắc! Bạn đã làm đúng.", IF(NOT(ISBLANK(J10)), "💡 Gợi ý Tầng 3 (Chốt phương pháp): " &amp; "Mục đích chính là thể hiện trạng thái tâm lý lo âu/căng thẳng của nhân vật qua hành vi cụ thể.", IF(NOT(ISBLANK(H10)), "💡 Gợi ý Tầng 2 (Manh mối cấu trúc &amp; Loại trừ): " &amp; "Chú ý các dấu hiệu như thở gấp, đổ mồ hôi và nét mặt căng thẳng trong bối cảnh truyện.", "💡 Gợi ý Tầng 1 (Định hướng bối cảnh): " &amp; "Tập trung vào các chi tiết miêu tả cảm xúc và biểu hiện thể chất của nhân vật."))))</f>
        <v/>
      </c>
      <c r="P10" s="5">
        <f>IF(OR(G10="✅ Đúng", I10="✅ Đúng", K10="✅ Đúng"), "Văn xuôi hư cấu: Biểu hiện thể chất phản ánh trạng thái tâm lý nhân vật.", "🔒 Trả lời đúng để mở khóa Strategic Tip!")</f>
        <v/>
      </c>
    </row>
    <row r="11">
      <c r="A11" s="7" t="inlineStr">
        <is>
          <t>Q7</t>
        </is>
      </c>
      <c r="B11" s="5" t="inlineStr">
        <is>
          <t>Main Purpose (Informational Text)</t>
        </is>
      </c>
      <c r="C11" s="5" t="inlineStr">
        <is>
          <t>Modern forestry offers diverse career opportunities that integrate scientific knowledge with hands-on environmental work. Arborists assess tree health and perform maintenance such as pruning to promote safety and prevent problems. Forestry technicians collect data on growth patterns and biodiversity in the wild. Forest ecologists conduct field research and analyze ecosystems to understand how forests respond to changes in weather patterns. With this blend of scientific understanding and practical application, forestry professionals address a variety of complex environmental challenges.</t>
        </is>
      </c>
      <c r="D11" s="5" t="inlineStr">
        <is>
          <t>Which choice best describes the main purpose of the text?</t>
        </is>
      </c>
      <c r="E11" s="5" t="inlineStr">
        <is>
          <t>A. Lựa chọn A
B. Lựa chọn B
C. Lựa chọn C
D. Lựa chọn D</t>
        </is>
      </c>
      <c r="F11" s="14" t="n"/>
      <c r="G11" s="7">
        <f>IF(ISBLANK(F11), "⏳ Chờ đáp án", IF(UPPER(TRIM(F11))="D", "✅ Đúng", "❌ Sai"))</f>
        <v/>
      </c>
      <c r="H11" s="14" t="n"/>
      <c r="I11" s="7">
        <f>IF(ISBLANK(H11), "", IF(UPPER(TRIM(H11))="D", "✅ Đúng", "❌ Sai"))</f>
        <v/>
      </c>
      <c r="J11" s="14" t="n"/>
      <c r="K11" s="7">
        <f>IF(ISBLANK(J11), "", IF(UPPER(TRIM(J11))="D", "✅ Đúng", "❌ Sai"))</f>
        <v/>
      </c>
      <c r="L11" s="7">
        <f>COUNTIF(G11, "❌ Sai") + COUNTIF(I11, "❌ Sai") + COUNTIF(K11, "❌ Sai")</f>
        <v/>
      </c>
      <c r="M11" s="7">
        <f>IF(ISBLANK(F11), "⏳ Chờ làm", IF(G11="✅ Đúng", "✅ Đúng ngay L1", IF(I11="✅ Đúng", "✅ Đúng ở L2", IF(K11="✅ Đúng", "✅ Đúng ở L3", "❌ Chưa đúng sau 3 lần"))))</f>
        <v/>
      </c>
      <c r="N11" s="13">
        <f>IF(G11="✅ Đúng", 1, IF(I11="✅ Đúng", 0.667, IF(K11="✅ Đúng", 0.333, 0)))</f>
        <v/>
      </c>
      <c r="O11" s="5">
        <f>IF(ISBLANK(F11), "💡 Nhập đáp án vào Lần thử 1", IF(OR(G11="✅ Đúng", I11="✅ Đúng", K11="✅ Đúng"), "✨ Xuất sắc! Bạn đã làm đúng.", IF(NOT(ISBLANK(J11)), "💡 Gợi ý Tầng 3 (Chốt phương pháp): " &amp; "Mục đích là tổng quan các cơ hội nghề nghiệp đa dạng trong lĩnh vực được nêu.", IF(NOT(ISBLANK(H11)), "💡 Gợi ý Tầng 2 (Manh mối cấu trúc &amp; Loại trừ): " &amp; "Đoạn văn liệt kê các hướng đi công việc và cơ hội phát triển trong ngành lâm nghiệp.", "💡 Gợi ý Tầng 1 (Định hướng bối cảnh): " &amp; "So sánh câu mở đầu và câu kết thúc của bài đọc để xác định chủ đề xuyên suốt."))))</f>
        <v/>
      </c>
      <c r="P11" s="5">
        <f>IF(OR(G11="✅ Đúng", I11="✅ Đúng", K11="✅ Đúng"), "Main Purpose = Topic (Forestry Careers) + So What? (Integrate science and practical work).", "🔒 Trả lời đúng để mở khóa Strategic Tip!")</f>
        <v/>
      </c>
    </row>
    <row r="12">
      <c r="A12" s="7" t="inlineStr">
        <is>
          <t>Q8</t>
        </is>
      </c>
      <c r="B12" s="5" t="inlineStr">
        <is>
          <t>Detail &amp; Literal Comprehension</t>
        </is>
      </c>
      <c r="C12" s="5" t="inlineStr">
        <is>
          <t>James Fong and his team claim to have discovered a new color, which they named olo. Olo is a very saturated blue-green color that can’t be seen with the human eye under natural conditions. In the human eye, long, medium, and short cones in the retina help sense bright light and color. Olo can only be seen by activating the medium cones alone. Fong and team activated these cones by using a targeted laser technology to stimulate just the medium cone cells.</t>
        </is>
      </c>
      <c r="D12" s="5" t="inlineStr">
        <is>
          <t>According to the text, how can the color olo be seen?</t>
        </is>
      </c>
      <c r="E12" s="5" t="inlineStr">
        <is>
          <t>A. Lựa chọn A
B. Lựa chọn B
C. Lựa chọn C
D. Lựa chọn D</t>
        </is>
      </c>
      <c r="F12" s="14" t="n"/>
      <c r="G12" s="7">
        <f>IF(ISBLANK(F12), "⏳ Chờ đáp án", IF(UPPER(TRIM(F12))="A", "✅ Đúng", "❌ Sai"))</f>
        <v/>
      </c>
      <c r="H12" s="14" t="n"/>
      <c r="I12" s="7">
        <f>IF(ISBLANK(H12), "", IF(UPPER(TRIM(H12))="A", "✅ Đúng", "❌ Sai"))</f>
        <v/>
      </c>
      <c r="J12" s="14" t="n"/>
      <c r="K12" s="7">
        <f>IF(ISBLANK(J12), "", IF(UPPER(TRIM(J12))="A", "✅ Đúng", "❌ Sai"))</f>
        <v/>
      </c>
      <c r="L12" s="7">
        <f>COUNTIF(G12, "❌ Sai") + COUNTIF(I12, "❌ Sai") + COUNTIF(K12, "❌ Sai")</f>
        <v/>
      </c>
      <c r="M12" s="7">
        <f>IF(ISBLANK(F12), "⏳ Chờ làm", IF(G12="✅ Đúng", "✅ Đúng ngay L1", IF(I12="✅ Đúng", "✅ Đúng ở L2", IF(K12="✅ Đúng", "✅ Đúng ở L3", "❌ Chưa đúng sau 3 lần"))))</f>
        <v/>
      </c>
      <c r="N12" s="13">
        <f>IF(G12="✅ Đúng", 1, IF(I12="✅ Đúng", 0.667, IF(K12="✅ Đúng", 0.333, 0)))</f>
        <v/>
      </c>
      <c r="O12" s="5">
        <f>IF(ISBLANK(F12), "💡 Nhập đáp án vào Lần thử 1", IF(OR(G12="✅ Đúng", I12="✅ Đúng", K12="✅ Đúng"), "✨ Xuất sắc! Bạn đã làm đúng.", IF(NOT(ISBLANK(J12)), "💡 Gợi ý Tầng 3 (Chốt phương pháp): " &amp; "Chọn đáp án diễn đạt lại chính xác (paraphrase) điều kiện kích hoạt được nêu trực tiếp trên mặt chữ.", IF(NOT(ISBLANK(H12)), "💡 Gợi ý Tầng 2 (Manh mối cấu trúc &amp; Loại trừ): " &amp; "Đối chiếu trực tiếp chi tiết về điều kiện nhìn thấy được miêu tả ở phần giữa bài đọc.", "💡 Gợi ý Tầng 1 (Định hướng bối cảnh): " &amp; "Xác định từ khóa tên riêng được đề cập trong câu hỏi và định vị câu chứa thông tin."))))</f>
        <v/>
      </c>
      <c r="P12" s="5">
        <f>IF(OR(G12="✅ Đúng", I12="✅ Đúng", K12="✅ Đúng"), "Literal Comprehension: Paraphrase đúng nguyên văn bài đọc, không suy diễn.", "🔒 Trả lời đúng để mở khóa Strategic Tip!")</f>
        <v/>
      </c>
    </row>
    <row r="13">
      <c r="A13" s="7" t="inlineStr">
        <is>
          <t>Q9</t>
        </is>
      </c>
      <c r="B13" s="5" t="inlineStr">
        <is>
          <t>Quantitative Evidence (Graph)</t>
        </is>
      </c>
      <c r="C13" s="5" t="inlineStr">
        <is>
          <t>A student is collecting data about countries with volcanoes that have been active in the time since 1800 and in the time since 1960. The student records that Ethiopia has ______</t>
        </is>
      </c>
      <c r="D13" s="5" t="inlineStr">
        <is>
          <t>Which choice most effectively uses data from the graph to complete the statement?</t>
        </is>
      </c>
      <c r="E13" s="5" t="inlineStr">
        <is>
          <t>A. Lựa chọn A
B. Lựa chọn B
C. Lựa chọn C
D. Lựa chọn D</t>
        </is>
      </c>
      <c r="F13" s="14" t="n"/>
      <c r="G13" s="7">
        <f>IF(ISBLANK(F13), "⏳ Chờ đáp án", IF(UPPER(TRIM(F13))="C", "✅ Đúng", "❌ Sai"))</f>
        <v/>
      </c>
      <c r="H13" s="14" t="n"/>
      <c r="I13" s="7">
        <f>IF(ISBLANK(H13), "", IF(UPPER(TRIM(H13))="C", "✅ Đúng", "❌ Sai"))</f>
        <v/>
      </c>
      <c r="J13" s="14" t="n"/>
      <c r="K13" s="7">
        <f>IF(ISBLANK(J13), "", IF(UPPER(TRIM(J13))="C", "✅ Đúng", "❌ Sai"))</f>
        <v/>
      </c>
      <c r="L13" s="7">
        <f>COUNTIF(G13, "❌ Sai") + COUNTIF(I13, "❌ Sai") + COUNTIF(K13, "❌ Sai")</f>
        <v/>
      </c>
      <c r="M13" s="7">
        <f>IF(ISBLANK(F13), "⏳ Chờ làm", IF(G13="✅ Đúng", "✅ Đúng ngay L1", IF(I13="✅ Đúng", "✅ Đúng ở L2", IF(K13="✅ Đúng", "✅ Đúng ở L3", "❌ Chưa đúng sau 3 lần"))))</f>
        <v/>
      </c>
      <c r="N13" s="13">
        <f>IF(G13="✅ Đúng", 1, IF(I13="✅ Đúng", 0.667, IF(K13="✅ Đúng", 0.333, 0)))</f>
        <v/>
      </c>
      <c r="O13" s="5">
        <f>IF(ISBLANK(F13), "💡 Nhập đáp án vào Lần thử 1", IF(OR(G13="✅ Đúng", I13="✅ Đúng", K13="✅ Đúng"), "✨ Xuất sắc! Bạn đã làm đúng.", IF(NOT(ISBLANK(J13)), "💡 Gợi ý Tầng 3 (Chốt phương pháp): " &amp; "Chọn đáp án phản ánh đúng mối quan hệ lớn hơn/nhỏ hơn giữa hai số liệu trên đồ thị.", IF(NOT(ISBLANK(H13)), "💡 Gợi ý Tầng 2 (Manh mối cấu trúc &amp; Loại trừ): " &amp; "So sánh chiều cao của các cột đại diện cho số lượng núi lửa hoạt động giữa hai vùng.", "💡 Gợi ý Tầng 1 (Định hướng bối cảnh): " &amp; "Quan sát biểu đồ và xác định đúng hai quốc gia cùng mốc thời gian từ năm 1960."))))</f>
        <v/>
      </c>
      <c r="P13" s="5">
        <f>IF(OR(G13="✅ Đúng", I13="✅ Đúng", K13="✅ Đúng"), "Đọc chính xác cột chú giải và số liệu tương ứng của hai quốc gia.", "🔒 Trả lời đúng để mở khóa Strategic Tip!")</f>
        <v/>
      </c>
    </row>
    <row r="14">
      <c r="A14" s="7" t="inlineStr">
        <is>
          <t>Q10</t>
        </is>
      </c>
      <c r="B14" s="5" t="inlineStr">
        <is>
          <t>Command of Evidence (Quotation)</t>
        </is>
      </c>
      <c r="C14" s="5" t="inlineStr">
        <is>
          <t>Editor Jared Shurin’s enormous 2023 anthology The Big Book of Cyberpunk comprises 108 stories. Shurin’s volume is chronologically expansive, featuring such stories as James Tiptree Jr.’s “The Girl Who Was Plugged In” (1973) and Erica Satifka’s “Act of Providence” (2021). In his introduction, Shurin defines cyberpunk as a subgenre of speculative fiction concerning “the influence of technology on the scale, the pace, or the pattern of human affairs”; however, some critics assert that cyberpunk is a literary movement that is in large part aesthetic rather than idea driven.</t>
        </is>
      </c>
      <c r="D14" s="5" t="inlineStr">
        <is>
          <t>Which quotation from a literary critic would be the most effective evidence in support of the underlined claim?</t>
        </is>
      </c>
      <c r="E14" s="5" t="inlineStr">
        <is>
          <t>A. Lựa chọn A
B. Lựa chọn B
C. Lựa chọn C
D. Lựa chọn D</t>
        </is>
      </c>
      <c r="F14" s="14" t="n"/>
      <c r="G14" s="7">
        <f>IF(ISBLANK(F14), "⏳ Chờ đáp án", IF(UPPER(TRIM(F14))="D", "✅ Đúng", "❌ Sai"))</f>
        <v/>
      </c>
      <c r="H14" s="14" t="n"/>
      <c r="I14" s="7">
        <f>IF(ISBLANK(H14), "", IF(UPPER(TRIM(H14))="D", "✅ Đúng", "❌ Sai"))</f>
        <v/>
      </c>
      <c r="J14" s="14" t="n"/>
      <c r="K14" s="7">
        <f>IF(ISBLANK(J14), "", IF(UPPER(TRIM(J14))="D", "✅ Đúng", "❌ Sai"))</f>
        <v/>
      </c>
      <c r="L14" s="7">
        <f>COUNTIF(G14, "❌ Sai") + COUNTIF(I14, "❌ Sai") + COUNTIF(K14, "❌ Sai")</f>
        <v/>
      </c>
      <c r="M14" s="7">
        <f>IF(ISBLANK(F14), "⏳ Chờ làm", IF(G14="✅ Đúng", "✅ Đúng ngay L1", IF(I14="✅ Đúng", "✅ Đúng ở L2", IF(K14="✅ Đúng", "✅ Đúng ở L3", "❌ Chưa đúng sau 3 lần"))))</f>
        <v/>
      </c>
      <c r="N14" s="13">
        <f>IF(G14="✅ Đúng", 1, IF(I14="✅ Đúng", 0.667, IF(K14="✅ Đúng", 0.333, 0)))</f>
        <v/>
      </c>
      <c r="O14" s="5">
        <f>IF(ISBLANK(F14), "💡 Nhập đáp án vào Lần thử 1", IF(OR(G14="✅ Đúng", I14="✅ Đúng", K14="✅ Đúng"), "✨ Xuất sắc! Bạn đã làm đúng.", IF(NOT(ISBLANK(J14)), "💡 Gợi ý Tầng 3 (Chốt phương pháp): " &amp; "Loại trừ các trích dẫn chỉ nói về chức năng kỹ thuật; chọn câu nhấn mạnh khía cạnh phong cách/thẩm mỹ.", IF(NOT(ISBLANK(H14)), "💡 Gợi ý Tầng 2 (Manh mối cấu trúc &amp; Loại trừ): " &amp; "Tìm câu trích dẫn chứa các từ miêu tả dáng vẻ bên ngoài, phụ kiện hoặc yếu tố văn hóa đại chúng.", "💡 Gợi ý Tầng 1 (Định hướng bối cảnh): " &amp; "Đọc kỹ yêu cầu câu hỏi về yếu tố thẩm mỹ hoặc biểu tượng phong cách."))))</f>
        <v/>
      </c>
      <c r="P14" s="5">
        <f>IF(OR(G14="✅ Đúng", I14="✅ Đúng", K14="✅ Đúng"), "Bằng chứng hỗ trợ phải trực tiếp chứng minh tính chất 'aesthetic' (thẩm mỹ).", "🔒 Trả lời đúng để mở khóa Strategic Tip!")</f>
        <v/>
      </c>
    </row>
    <row r="15">
      <c r="A15" s="7" t="inlineStr">
        <is>
          <t>Q11</t>
        </is>
      </c>
      <c r="B15" s="5" t="inlineStr">
        <is>
          <t>Command of Evidence (Table Data)</t>
        </is>
      </c>
      <c r="C15" s="5" t="inlineStr">
        <is>
          <t>Employment in Tribal Economies in December 2017 and December 2023 by Sector Economic sector Approximate total number of employees, 2017 Percentage of workforce, 2017 Approximate total number of employees, 2023 Percentage of workforce, 2023 Business sector (all tribal businesses) 220,700 66.0% 232,300 65.4% Leisure and hospitality businesses 185,100 55.3% 192,300 54.2% Education and healthcare businesses 19,100 5.7% 21,600 6.1% Other businesses 16,500 5.0% 18,400 5.1% Public sector (tribal government and public administration) 113,800 34.0% 122,700 34.6% Tribal nations employ a large percentage of their populations in tribally owned businesses as well as in government and public administration. This is especially true in Oklahoma and other states with robust tribal economies and large Native populations. Between end-of-year 2017 and end-of-year 2023, the percentage of tribal employees working in the public sector increased, from 34.0% to 34.6%, while the percentage working in the business sector declined from 66.0% to 65.4%.</t>
        </is>
      </c>
      <c r="D15" s="5" t="inlineStr">
        <is>
          <t>Which statement about the decline in the percentage of tribal employees working in the business sector is best supported by information in the table?</t>
        </is>
      </c>
      <c r="E15" s="5" t="inlineStr">
        <is>
          <t>A. Lựa chọn A
B. Lựa chọn B
C. Lựa chọn C
D. Lựa chọn D</t>
        </is>
      </c>
      <c r="F15" s="14" t="n"/>
      <c r="G15" s="7">
        <f>IF(ISBLANK(F15), "⏳ Chờ đáp án", IF(UPPER(TRIM(F15))="A", "✅ Đúng", "❌ Sai"))</f>
        <v/>
      </c>
      <c r="H15" s="14" t="n"/>
      <c r="I15" s="7">
        <f>IF(ISBLANK(H15), "", IF(UPPER(TRIM(H15))="A", "✅ Đúng", "❌ Sai"))</f>
        <v/>
      </c>
      <c r="J15" s="14" t="n"/>
      <c r="K15" s="7">
        <f>IF(ISBLANK(J15), "", IF(UPPER(TRIM(J15))="A", "✅ Đúng", "❌ Sai"))</f>
        <v/>
      </c>
      <c r="L15" s="7">
        <f>COUNTIF(G15, "❌ Sai") + COUNTIF(I15, "❌ Sai") + COUNTIF(K15, "❌ Sai")</f>
        <v/>
      </c>
      <c r="M15" s="7">
        <f>IF(ISBLANK(F15), "⏳ Chờ làm", IF(G15="✅ Đúng", "✅ Đúng ngay L1", IF(I15="✅ Đúng", "✅ Đúng ở L2", IF(K15="✅ Đúng", "✅ Đúng ở L3", "❌ Chưa đúng sau 3 lần"))))</f>
        <v/>
      </c>
      <c r="N15" s="13">
        <f>IF(G15="✅ Đúng", 1, IF(I15="✅ Đúng", 0.667, IF(K15="✅ Đúng", 0.333, 0)))</f>
        <v/>
      </c>
      <c r="O15" s="5">
        <f>IF(ISBLANK(F15), "💡 Nhập đáp án vào Lần thử 1", IF(OR(G15="✅ Đúng", I15="✅ Đúng", K15="✅ Đúng"), "✨ Xuất sắc! Bạn đã làm đúng.", IF(NOT(ISBLANK(J15)), "💡 Gợi ý Tầng 3 (Chốt phương pháp): " &amp; "Chọn đáp án nêu đúng sự thay đổi tăng/giảm dựa trên phép trừ số liệu chính xác trong bảng.", IF(NOT(ISBLANK(H15)), "💡 Gợi ý Tầng 2 (Manh mối cấu trúc &amp; Loại trừ): " &amp; "So sánh giá trị nhân viên thực tế giữa các mốc năm trong ngành kinh doanh.", "💡 Gợi ý Tầng 1 (Định hướng bối cảnh): " &amp; "Định vị ngành nghề và khoảng thời gian được đề cập trong bảng số liệu."))))</f>
        <v/>
      </c>
      <c r="P15" s="5">
        <f>IF(OR(G15="✅ Đúng", I15="✅ Đúng", K15="✅ Đúng"), "Tỷ lệ % giảm không có nghĩa là số lượng tuyệt đối giảm nếu tổng quy mô tăng.", "🔒 Trả lời đúng để mở khóa Strategic Tip!")</f>
        <v/>
      </c>
    </row>
    <row r="16">
      <c r="A16" s="7" t="inlineStr">
        <is>
          <t>Q12</t>
        </is>
      </c>
      <c r="B16" s="5" t="inlineStr">
        <is>
          <t>Command of Evidence (Chart Interpretation)</t>
        </is>
      </c>
      <c r="C16" s="5" t="inlineStr">
        <is>
          <t>While US public charities, like Commonfund, must file Form 990 yearly with the IRS, private foundations, such as Lilly Endowment Inc., must file a different form, 990-PF. In addition, foundations that engage in certain prohibited activities must also file Form 4720 and pay a penalty tax on the money involved. Private foundations are prohibited from holding excess interests in a business enterprise, “self-dealing” (conducting activities that benefit foundation insiders), making taxable expenditures such as grants to noncharitable entities, and failing to cross a required threshold in making charitable distributions from income. Out of the organizations that filed Form 990-PF in the years 2003–2005, ______</t>
        </is>
      </c>
      <c r="D16" s="5" t="inlineStr">
        <is>
          <t>Which choice most effectively uses data from the graph to complete the assertion?</t>
        </is>
      </c>
      <c r="E16" s="5" t="inlineStr">
        <is>
          <t>A. Lựa chọn A
B. Lựa chọn B
C. Lựa chọn C
D. Lựa chọn D</t>
        </is>
      </c>
      <c r="F16" s="14" t="n"/>
      <c r="G16" s="7">
        <f>IF(ISBLANK(F16), "⏳ Chờ đáp án", IF(UPPER(TRIM(F16))="C", "✅ Đúng", "❌ Sai"))</f>
        <v/>
      </c>
      <c r="H16" s="14" t="n"/>
      <c r="I16" s="7">
        <f>IF(ISBLANK(H16), "", IF(UPPER(TRIM(H16))="C", "✅ Đúng", "❌ Sai"))</f>
        <v/>
      </c>
      <c r="J16" s="14" t="n"/>
      <c r="K16" s="7">
        <f>IF(ISBLANK(J16), "", IF(UPPER(TRIM(J16))="C", "✅ Đúng", "❌ Sai"))</f>
        <v/>
      </c>
      <c r="L16" s="7">
        <f>COUNTIF(G16, "❌ Sai") + COUNTIF(I16, "❌ Sai") + COUNTIF(K16, "❌ Sai")</f>
        <v/>
      </c>
      <c r="M16" s="7">
        <f>IF(ISBLANK(F16), "⏳ Chờ làm", IF(G16="✅ Đúng", "✅ Đúng ngay L1", IF(I16="✅ Đúng", "✅ Đúng ở L2", IF(K16="✅ Đúng", "✅ Đúng ở L3", "❌ Chưa đúng sau 3 lần"))))</f>
        <v/>
      </c>
      <c r="N16" s="13">
        <f>IF(G16="✅ Đúng", 1, IF(I16="✅ Đúng", 0.667, IF(K16="✅ Đúng", 0.333, 0)))</f>
        <v/>
      </c>
      <c r="O16" s="5">
        <f>IF(ISBLANK(F16), "💡 Nhập đáp án vào Lần thử 1", IF(OR(G16="✅ Đúng", I16="✅ Đúng", K16="✅ Đúng"), "✨ Xuất sắc! Bạn đã làm đúng.", IF(NOT(ISBLANK(J16)), "💡 Gợi ý Tầng 3 (Chốt phương pháp): " &amp; "Chọn đáp án phản ánh chính xác xu hướng biến động số liệu được thể hiện trên đồ thị.", IF(NOT(ISBLANK(H16)), "💡 Gợi ý Tầng 2 (Manh mối cấu trúc &amp; Loại trừ): " &amp; "So sánh tỉ lệ giữa hai năm được hỏi (2003 và 2005) để xem năm nào cao hơn.", "💡 Gợi ý Tầng 1 (Định hướng bối cảnh): " &amp; "Chú ý chỉ số phần trăm do 'undistributed income' trên biểu đồ qua các mốc năm."))))</f>
        <v/>
      </c>
      <c r="P16" s="5">
        <f>IF(OR(G16="✅ Đúng", I16="✅ Đúng", K16="✅ Đúng"), "Đọc đúng cột năm (2003 vs 2005) và nhóm lý do bị phạt.", "🔒 Trả lời đúng để mở khóa Strategic Tip!")</f>
        <v/>
      </c>
    </row>
    <row r="17">
      <c r="A17" s="7" t="inlineStr">
        <is>
          <t>Q13</t>
        </is>
      </c>
      <c r="B17" s="5" t="inlineStr">
        <is>
          <t>Command of Evidence (Literary Text)</t>
        </is>
      </c>
      <c r="C17" s="5" t="inlineStr">
        <is>
          <t>Philoctetes is a play by Sophocles that was first performed in 409 BCE. In the play, Odysseus and Neoptolemus must retrieve Philoctetes—a master archer who is believed necessary for the Greeks to win the Trojan War—from a cave on a deserted island where Odysseus and others had abandoned him with a debilitating injury earlier in the war. Odysseus suggests that the plan for returning with Philoctetes rests on Neoptolemus not having been part of the group that abandoned him: ______</t>
        </is>
      </c>
      <c r="D17" s="5" t="inlineStr">
        <is>
          <t>Which quotation from Philoctetes most effectively illustrates the claim?</t>
        </is>
      </c>
      <c r="E17" s="5" t="inlineStr">
        <is>
          <t>A. Lựa chọn A
B. Lựa chọn B
C. Lựa chọn C
D. Lựa chọn D</t>
        </is>
      </c>
      <c r="F17" s="14" t="n"/>
      <c r="G17" s="7">
        <f>IF(ISBLANK(F17), "⏳ Chờ đáp án", IF(UPPER(TRIM(F17))="C", "✅ Đúng", "❌ Sai"))</f>
        <v/>
      </c>
      <c r="H17" s="14" t="n"/>
      <c r="I17" s="7">
        <f>IF(ISBLANK(H17), "", IF(UPPER(TRIM(H17))="C", "✅ Đúng", "❌ Sai"))</f>
        <v/>
      </c>
      <c r="J17" s="14" t="n"/>
      <c r="K17" s="7">
        <f>IF(ISBLANK(J17), "", IF(UPPER(TRIM(J17))="C", "✅ Đúng", "❌ Sai"))</f>
        <v/>
      </c>
      <c r="L17" s="7">
        <f>COUNTIF(G17, "❌ Sai") + COUNTIF(I17, "❌ Sai") + COUNTIF(K17, "❌ Sai")</f>
        <v/>
      </c>
      <c r="M17" s="7">
        <f>IF(ISBLANK(F17), "⏳ Chờ làm", IF(G17="✅ Đúng", "✅ Đúng ngay L1", IF(I17="✅ Đúng", "✅ Đúng ở L2", IF(K17="✅ Đúng", "✅ Đúng ở L3", "❌ Chưa đúng sau 3 lần"))))</f>
        <v/>
      </c>
      <c r="N17" s="13">
        <f>IF(G17="✅ Đúng", 1, IF(I17="✅ Đúng", 0.667, IF(K17="✅ Đúng", 0.333, 0)))</f>
        <v/>
      </c>
      <c r="O17" s="5">
        <f>IF(ISBLANK(F17), "💡 Nhập đáp án vào Lần thử 1", IF(OR(G17="✅ Đúng", I17="✅ Đúng", K17="✅ Đúng"), "✨ Xuất sắc! Bạn đã làm đúng.", IF(NOT(ISBLANK(J17)), "💡 Gợi ý Tầng 3 (Chốt phương pháp): " &amp; "Chọn trích dẫn thể hiện rõ việc nhân vật không tham gia vào hành động bỏ rơi trước đó.", IF(NOT(ISBLANK(H17)), "💡 Gợi ý Tầng 2 (Manh mối cấu trúc &amp; Loại trừ): " &amp; "Tìm câu thoại hoặc lời kể giải thích lý do nhân vật không bị coi là người phản bội.", "💡 Gợi ý Tầng 1 (Định hướng bối cảnh): " &amp; "Xác định nguyên nhân dẫn đến sự tin tưởng của nhân vật được hỏi trong tác phẩm."))))</f>
        <v/>
      </c>
      <c r="P17" s="5">
        <f>IF(OR(G17="✅ Đúng", I17="✅ Đúng", K17="✅ Đúng"), "Chọn câu thoại thể hiện rõ luận điểm Neoptolemus không thuộc nhóm cũ.", "🔒 Trả lời đúng để mở khóa Strategic Tip!")</f>
        <v/>
      </c>
    </row>
    <row r="18">
      <c r="A18" s="7" t="inlineStr">
        <is>
          <t>Q14</t>
        </is>
      </c>
      <c r="B18" s="5" t="inlineStr">
        <is>
          <t>Text Completion / Logical Inference</t>
        </is>
      </c>
      <c r="C18" s="5" t="inlineStr">
        <is>
          <t>Louis-Ferdinand Céline’s 1932 novel Journey to the End of the Night is regularly described as autobiographical. That characterization is apt—there are many parallels between the experiences of the novel’s protagonist, Ferdinand Bardamu, and those of Céline—but it should not be taken to mean that every person or event depicted in Journey to the End of the Night has a real-life analogue. Much of the novel is pure invention, and readers who overlook this fact and instead focus excessively on correspondences between the novel and Céline’s life can thus ______</t>
        </is>
      </c>
      <c r="D18" s="5" t="inlineStr">
        <is>
          <t>Which choice most logically completes the text?</t>
        </is>
      </c>
      <c r="E18" s="5" t="inlineStr">
        <is>
          <t>A. Lựa chọn A
B. Lựa chọn B
C. Lựa chọn C
D. Lựa chọn D</t>
        </is>
      </c>
      <c r="F18" s="14" t="n"/>
      <c r="G18" s="7">
        <f>IF(ISBLANK(F18), "⏳ Chờ đáp án", IF(UPPER(TRIM(F18))="A", "✅ Đúng", "❌ Sai"))</f>
        <v/>
      </c>
      <c r="H18" s="14" t="n"/>
      <c r="I18" s="7">
        <f>IF(ISBLANK(H18), "", IF(UPPER(TRIM(H18))="A", "✅ Đúng", "❌ Sai"))</f>
        <v/>
      </c>
      <c r="J18" s="14" t="n"/>
      <c r="K18" s="7">
        <f>IF(ISBLANK(J18), "", IF(UPPER(TRIM(J18))="A", "✅ Đúng", "❌ Sai"))</f>
        <v/>
      </c>
      <c r="L18" s="7">
        <f>COUNTIF(G18, "❌ Sai") + COUNTIF(I18, "❌ Sai") + COUNTIF(K18, "❌ Sai")</f>
        <v/>
      </c>
      <c r="M18" s="7">
        <f>IF(ISBLANK(F18), "⏳ Chờ làm", IF(G18="✅ Đúng", "✅ Đúng ngay L1", IF(I18="✅ Đúng", "✅ Đúng ở L2", IF(K18="✅ Đúng", "✅ Đúng ở L3", "❌ Chưa đúng sau 3 lần"))))</f>
        <v/>
      </c>
      <c r="N18" s="13">
        <f>IF(G18="✅ Đúng", 1, IF(I18="✅ Đúng", 0.667, IF(K18="✅ Đúng", 0.333, 0)))</f>
        <v/>
      </c>
      <c r="O18" s="5">
        <f>IF(ISBLANK(F18), "💡 Nhập đáp án vào Lần thử 1", IF(OR(G18="✅ Đúng", I18="✅ Đúng", K18="✅ Đúng"), "✨ Xuất sắc! Bạn đã làm đúng.", IF(NOT(ISBLANK(J18)), "💡 Gợi ý Tầng 3 (Chốt phương pháp): " &amp; "Chọn câu kết luận chỉ ra sự thiếu sót trong việc đánh giá toàn diện tác phẩm nếu chỉ nhìn một chiều.", IF(NOT(ISBLANK(H18)), "💡 Gợi ý Tầng 2 (Manh mối cấu trúc &amp; Loại trừ): " &amp; "Chú ý từ nối đối lập chỉ ra hậu quả của việc bỏ qua khía cạnh hư cấu trong nghiên cứu.", "💡 Gợi ý Tầng 1 (Định hướng bối cảnh): " &amp; "Xác định mối quan hệ logic giữa việc tập trung vào yếu tố tự thuật và yếu tố sáng tác."))))</f>
        <v/>
      </c>
      <c r="P18" s="5">
        <f>IF(OR(G18="✅ Đúng", I18="✅ Đúng", K18="✅ Đúng"), "Suy luận logic: Xem nhẹ 'pure invention' -&gt; Bỏ qua tính sáng tạo (creativity).", "🔒 Trả lời đúng để mở khóa Strategic Tip!")</f>
        <v/>
      </c>
    </row>
    <row r="19">
      <c r="A19" s="7" t="inlineStr">
        <is>
          <t>Q15</t>
        </is>
      </c>
      <c r="B19" s="5" t="inlineStr">
        <is>
          <t>Text Completion / Inference</t>
        </is>
      </c>
      <c r="C19" s="5" t="inlineStr">
        <is>
          <t>Last-mile delivery, the final stage in the delivery of products to customers, is subject to increasing pressure as consumers place greater emphasis on convenience and immediacy, increasingly expecting next-day delivery. In response to this challenge and others, such as the increasing volume of parcels to be delivered, delivery companies are continually looking for ways to make last-mile delivery more efficient. One advance in last-mile delivery is the use of self-service lockers (containers where consumers can pick up their parcels using a unique code). This approach, while promising, also introduces new obstacles (e.g., convenient placement of self-service lockers is challenging). It is therefore likely that ______</t>
        </is>
      </c>
      <c r="D19" s="5" t="inlineStr">
        <is>
          <t>Which choice most logically completes the text?</t>
        </is>
      </c>
      <c r="E19" s="5" t="inlineStr">
        <is>
          <t>A. Lựa chọn A
B. Lựa chọn B
C. Lựa chọn C
D. Lựa chọn D</t>
        </is>
      </c>
      <c r="F19" s="14" t="n"/>
      <c r="G19" s="7">
        <f>IF(ISBLANK(F19), "⏳ Chờ đáp án", IF(UPPER(TRIM(F19))="A", "✅ Đúng", "❌ Sai"))</f>
        <v/>
      </c>
      <c r="H19" s="14" t="n"/>
      <c r="I19" s="7">
        <f>IF(ISBLANK(H19), "", IF(UPPER(TRIM(H19))="A", "✅ Đúng", "❌ Sai"))</f>
        <v/>
      </c>
      <c r="J19" s="14" t="n"/>
      <c r="K19" s="7">
        <f>IF(ISBLANK(J19), "", IF(UPPER(TRIM(J19))="A", "✅ Đúng", "❌ Sai"))</f>
        <v/>
      </c>
      <c r="L19" s="7">
        <f>COUNTIF(G19, "❌ Sai") + COUNTIF(I19, "❌ Sai") + COUNTIF(K19, "❌ Sai")</f>
        <v/>
      </c>
      <c r="M19" s="7">
        <f>IF(ISBLANK(F19), "⏳ Chờ làm", IF(G19="✅ Đúng", "✅ Đúng ngay L1", IF(I19="✅ Đúng", "✅ Đúng ở L2", IF(K19="✅ Đúng", "✅ Đúng ở L3", "❌ Chưa đúng sau 3 lần"))))</f>
        <v/>
      </c>
      <c r="N19" s="13">
        <f>IF(G19="✅ Đúng", 1, IF(I19="✅ Đúng", 0.667, IF(K19="✅ Đúng", 0.333, 0)))</f>
        <v/>
      </c>
      <c r="O19" s="5">
        <f>IF(ISBLANK(F19), "💡 Nhập đáp án vào Lần thử 1", IF(OR(G19="✅ Đúng", I19="✅ Đúng", K19="✅ Đúng"), "✨ Xuất sắc! Bạn đã làm đúng.", IF(NOT(ISBLANK(J19)), "💡 Gợi ý Tầng 3 (Chốt phương pháp): " &amp; "Chọn kết luận nối tiếp hợp lý, thể hiện sự suy giảm hoặc thay đổi hành vi tương ứng.", IF(NOT(ISBLANK(H19)), "💡 Gợi ý Tầng 2 (Manh mối cấu trúc &amp; Loại trừ): " &amp; "Chú ý các bằng chứng được đưa ra ở câu trước về sự thay đổi nguồn thức ăn.", "💡 Gợi ý Tầng 1 (Định hướng bối cảnh): " &amp; "Phân tích lập luận của tác giả về tác động của biến đổi khí hậu đối với loài động vật."))))</f>
        <v/>
      </c>
      <c r="P19" s="5">
        <f>IF(OR(G19="✅ Đúng", I19="✅ Đúng", K19="✅ Đúng"), "Kết luận hợp lý: Giải pháp hiện tại gặp thách thức -&gt; Cần tiếp tục thử nghiệm ý tưởng mới.", "🔒 Trả lời đúng để mở khóa Strategic Tip!")</f>
        <v/>
      </c>
    </row>
    <row r="20">
      <c r="A20" s="7" t="inlineStr">
        <is>
          <t>Q16</t>
        </is>
      </c>
      <c r="B20" s="5" t="inlineStr">
        <is>
          <t>Standard English Conventions (Relative Clauses)</t>
        </is>
      </c>
      <c r="C20" s="5" t="inlineStr">
        <is>
          <t>With an average summer temperature of 82.5 degrees Fahrenheit, Nicosia is one European ______ many travelers recommend, especially from June to September.</t>
        </is>
      </c>
      <c r="D20" s="5" t="inlineStr">
        <is>
          <t>Which choice completes the text so that it conforms to the conventions of Standard English?</t>
        </is>
      </c>
      <c r="E20" s="5" t="inlineStr">
        <is>
          <t>A. Lựa chọn A
B. Lựa chọn B
C. Lựa chọn C
D. Lựa chọn D</t>
        </is>
      </c>
      <c r="F20" s="14" t="n"/>
      <c r="G20" s="7">
        <f>IF(ISBLANK(F20), "⏳ Chờ đáp án", IF(UPPER(TRIM(F20))="C", "✅ Đúng", "❌ Sai"))</f>
        <v/>
      </c>
      <c r="H20" s="14" t="n"/>
      <c r="I20" s="7">
        <f>IF(ISBLANK(H20), "", IF(UPPER(TRIM(H20))="C", "✅ Đúng", "❌ Sai"))</f>
        <v/>
      </c>
      <c r="J20" s="14" t="n"/>
      <c r="K20" s="7">
        <f>IF(ISBLANK(J20), "", IF(UPPER(TRIM(J20))="C", "✅ Đúng", "❌ Sai"))</f>
        <v/>
      </c>
      <c r="L20" s="7">
        <f>COUNTIF(G20, "❌ Sai") + COUNTIF(I20, "❌ Sai") + COUNTIF(K20, "❌ Sai")</f>
        <v/>
      </c>
      <c r="M20" s="7">
        <f>IF(ISBLANK(F20), "⏳ Chờ làm", IF(G20="✅ Đúng", "✅ Đúng ngay L1", IF(I20="✅ Đúng", "✅ Đúng ở L2", IF(K20="✅ Đúng", "✅ Đúng ở L3", "❌ Chưa đúng sau 3 lần"))))</f>
        <v/>
      </c>
      <c r="N20" s="13">
        <f>IF(G20="✅ Đúng", 1, IF(I20="✅ Đúng", 0.667, IF(K20="✅ Đúng", 0.333, 0)))</f>
        <v/>
      </c>
      <c r="O20" s="5">
        <f>IF(ISBLANK(F20), "💡 Nhập đáp án vào Lần thử 1", IF(OR(G20="✅ Đúng", I20="✅ Đúng", K20="✅ Đúng"), "✨ Xuất sắc! Bạn đã làm đúng.", IF(NOT(ISBLANK(J20)), "💡 Gợi ý Tầng 3 (Chốt phương pháp): " &amp; "Loại bỏ các đại từ quan hệ không phù hợp; chọn cấu trúc ngữ pháp chuẩn xác.", IF(NOT(ISBLANK(H20)), "💡 Gợi ý Tầng 2 (Manh mối cấu trúc &amp; Loại trừ): " &amp; "Kiểm tra xem động từ trong mệnh đề quan hệ chia ở số ít hay số nhiều dựa vào danh từ trung tâm.", "💡 Gợi ý Tầng 1 (Định hướng bối cảnh): " &amp; "Xác định mệnh đề quan hệ bổ nghĩa cho danh từ chỉ vật hay chỉ người đứng trước."))))</f>
        <v/>
      </c>
      <c r="P20" s="5">
        <f>IF(OR(G20="✅ Đúng", I20="✅ Đúng", K20="✅ Đúng"), "Dùng 'that' không dấu phẩy cho mệnh đề quan hệ giới hạn.", "🔒 Trả lời đúng để mở khóa Strategic Tip!")</f>
        <v/>
      </c>
    </row>
    <row r="21" ht="15.75" customHeight="1" s="19">
      <c r="A21" s="7" t="inlineStr">
        <is>
          <t>Q17</t>
        </is>
      </c>
      <c r="B21" s="5" t="inlineStr">
        <is>
          <t>Standard English Conventions (Verb Tense &amp; Progress)</t>
        </is>
      </c>
      <c r="C21" s="5" t="inlineStr">
        <is>
          <t>Nanoengineers have developed synthesized mesoporous silica nanoparticles that are used to transport genes and medicines to specific cells in the body. As nanotechnology evolves, medical technology ______ to evolve as well.</t>
        </is>
      </c>
      <c r="D21" s="5" t="inlineStr">
        <is>
          <t>Which choice completes the text so that it conforms to the conventions of Standard English?</t>
        </is>
      </c>
      <c r="E21" s="5" t="inlineStr">
        <is>
          <t>A. Lựa chọn A
B. Lựa chọn B
C. Lựa chọn C
D. Lựa chọn D</t>
        </is>
      </c>
      <c r="F21" s="14" t="n"/>
      <c r="G21" s="7">
        <f>IF(ISBLANK(F21), "⏳ Chờ đáp án", IF(UPPER(TRIM(F21))="D", "✅ Đúng", "❌ Sai"))</f>
        <v/>
      </c>
      <c r="H21" s="14" t="n"/>
      <c r="I21" s="7">
        <f>IF(ISBLANK(H21), "", IF(UPPER(TRIM(H21))="D", "✅ Đúng", "❌ Sai"))</f>
        <v/>
      </c>
      <c r="J21" s="14" t="n"/>
      <c r="K21" s="7">
        <f>IF(ISBLANK(J21), "", IF(UPPER(TRIM(J21))="D", "✅ Đúng", "❌ Sai"))</f>
        <v/>
      </c>
      <c r="L21" s="7">
        <f>COUNTIF(G21, "❌ Sai") + COUNTIF(I21, "❌ Sai") + COUNTIF(K21, "❌ Sai")</f>
        <v/>
      </c>
      <c r="M21" s="7">
        <f>IF(ISBLANK(F21), "⏳ Chờ làm", IF(G21="✅ Đúng", "✅ Đúng ngay L1", IF(I21="✅ Đúng", "✅ Đúng ở L2", IF(K21="✅ Đúng", "✅ Đúng ở L3", "❌ Chưa đúng sau 3 lần"))))</f>
        <v/>
      </c>
      <c r="N21" s="13">
        <f>IF(G21="✅ Đúng", 1, IF(I21="✅ Đúng", 0.667, IF(K21="✅ Đúng", 0.333, 0)))</f>
        <v/>
      </c>
      <c r="O21" s="5">
        <f>IF(ISBLANK(F21), "💡 Nhập đáp án vào Lần thử 1", IF(OR(G21="✅ Đúng", I21="✅ Đúng", K21="✅ Đúng"), "✨ Xuất sắc! Bạn đã làm đúng.", IF(NOT(ISBLANK(J21)), "💡 Gợi ý Tầng 3 (Chốt phương pháp): " &amp; "Chọn dạng động từ thể hiện sự tiếp diễn hoặc hoàn thành phù hợp với bối cảnh.", IF(NOT(ISBLANK(H21)), "💡 Gợi ý Tầng 2 (Manh mối cấu trúc &amp; Loại trừ): " &amp; "Đối chiếu thì của các động từ xung quanh để bảo đảm tính nhất quán về thời gian.", "💡 Gợi ý Tầng 1 (Định hướng bối cảnh): " &amp; "Xác định mốc thời gian và tính liên tục của hành động trong bài đọc."))))</f>
        <v/>
      </c>
      <c r="P21" s="5">
        <f>IF(OR(G21="✅ Đúng", I21="✅ Đúng", K21="✅ Đúng"), "Sự tương thích thì: As [Present], [Future].", "🔒 Trả lời đúng để mở khóa Strategic Tip!")</f>
        <v/>
      </c>
    </row>
    <row r="22" ht="15.75" customHeight="1" s="19">
      <c r="A22" s="7" t="inlineStr">
        <is>
          <t>Q18</t>
        </is>
      </c>
      <c r="B22" s="5" t="inlineStr">
        <is>
          <t>Standard English Conventions (Punctuation / Dashes)</t>
        </is>
      </c>
      <c r="C22" s="5" t="inlineStr">
        <is>
          <t>To more easily balance the weight of her body on her toes while performing the demanding pointe work that became increasingly common in early 20th-century ballet, internationally known ballerina Anna Pavlova redesigned her pointe shoes. The modifications she made—adding a stiffened leather sole and hardened toe ______ began the modernization of ballet’s iconic footwear.</t>
        </is>
      </c>
      <c r="D22" s="5" t="inlineStr">
        <is>
          <t>Which choice completes the text so that it conforms to the conventions of Standard English?</t>
        </is>
      </c>
      <c r="E22" s="5" t="inlineStr">
        <is>
          <t>A. Lựa chọn A
B. Lựa chọn B
C. Lựa chọn C
D. Lựa chọn D</t>
        </is>
      </c>
      <c r="F22" s="14" t="n"/>
      <c r="G22" s="7">
        <f>IF(ISBLANK(F22), "⏳ Chờ đáp án", IF(UPPER(TRIM(F22))="B", "✅ Đúng", "❌ Sai"))</f>
        <v/>
      </c>
      <c r="H22" s="14" t="n"/>
      <c r="I22" s="7">
        <f>IF(ISBLANK(H22), "", IF(UPPER(TRIM(H22))="B", "✅ Đúng", "❌ Sai"))</f>
        <v/>
      </c>
      <c r="J22" s="14" t="n"/>
      <c r="K22" s="7">
        <f>IF(ISBLANK(J22), "", IF(UPPER(TRIM(J22))="B", "✅ Đúng", "❌ Sai"))</f>
        <v/>
      </c>
      <c r="L22" s="7">
        <f>COUNTIF(G22, "❌ Sai") + COUNTIF(I22, "❌ Sai") + COUNTIF(K22, "❌ Sai")</f>
        <v/>
      </c>
      <c r="M22" s="7">
        <f>IF(ISBLANK(F22), "⏳ Chờ làm", IF(G22="✅ Đúng", "✅ Đúng ngay L1", IF(I22="✅ Đúng", "✅ Đúng ở L2", IF(K22="✅ Đúng", "✅ Đúng ở L3", "❌ Chưa đúng sau 3 lần"))))</f>
        <v/>
      </c>
      <c r="N22" s="13">
        <f>IF(G22="✅ Đúng", 1, IF(I22="✅ Đúng", 0.667, IF(K22="✅ Đúng", 0.333, 0)))</f>
        <v/>
      </c>
      <c r="O22" s="5">
        <f>IF(ISBLANK(F22), "💡 Nhập đáp án vào Lần thử 1", IF(OR(G22="✅ Đúng", I22="✅ Đúng", K22="✅ Đúng"), "✨ Xuất sắc! Bạn đã làm đúng.", IF(NOT(ISBLANK(J22)), "💡 Gợi ý Tầng 3 (Chốt phương pháp): " &amp; "Loại bỏ các phương án dùng hỗn hợp dấu phẩy và gạch ngang không đồng bộ.", IF(NOT(ISBLANK(H22)), "💡 Gợi ý Tầng 2 (Manh mối cấu trúc &amp; Loại trừ): " &amp; "Nhớ quy tắc cặp dấu tương đương: nếu đã mở đầu bằng dấu gạch ngang thì phải đóng bằng dấu gạch ngang.", "💡 Gợi ý Tầng 1 (Định hướng bối cảnh): " &amp; "Xác định thành phần bổ sung không thiết yếu (non-essential clause) trong câu."))))</f>
        <v/>
      </c>
      <c r="P22" s="5">
        <f>IF(OR(G22="✅ Đúng", I22="✅ Đúng", K22="✅ Đúng"), "Dấu gạch ngang đi theo cặp: — [thông tin bổ sung] —.", "🔒 Trả lời đúng để mở khóa Strategic Tip!")</f>
        <v/>
      </c>
    </row>
    <row r="23" ht="15.75" customHeight="1" s="19">
      <c r="A23" s="7" t="inlineStr">
        <is>
          <t>Q19</t>
        </is>
      </c>
      <c r="B23" s="5" t="inlineStr">
        <is>
          <t>Standard English Conventions (Colons)</t>
        </is>
      </c>
      <c r="C23" s="5" t="inlineStr">
        <is>
          <t>Archaeological evidence indicates that board games have existed in human societies for at least five millennia, with examples discovered in the tombs of ancient Egypt and the ruins of Mesopotamia. The purpose of these ancient games was ______ provide entertainment during leisure time, to reflect cultural beliefs, and to develop strategic thinking skills among players.</t>
        </is>
      </c>
      <c r="D23" s="5" t="inlineStr">
        <is>
          <t>Which choice completes the text so that it conforms to the conventions of Standard English?</t>
        </is>
      </c>
      <c r="E23" s="5" t="inlineStr">
        <is>
          <t>A. Lựa chọn A
B. Lựa chọn B
C. Lựa chọn C
D. Lựa chọn D</t>
        </is>
      </c>
      <c r="F23" s="14" t="n"/>
      <c r="G23" s="7">
        <f>IF(ISBLANK(F23), "⏳ Chờ đáp án", IF(UPPER(TRIM(F23))="B", "✅ Đúng", "❌ Sai"))</f>
        <v/>
      </c>
      <c r="H23" s="14" t="n"/>
      <c r="I23" s="7">
        <f>IF(ISBLANK(H23), "", IF(UPPER(TRIM(H23))="B", "✅ Đúng", "❌ Sai"))</f>
        <v/>
      </c>
      <c r="J23" s="14" t="n"/>
      <c r="K23" s="7">
        <f>IF(ISBLANK(J23), "", IF(UPPER(TRIM(J23))="B", "✅ Đúng", "❌ Sai"))</f>
        <v/>
      </c>
      <c r="L23" s="7">
        <f>COUNTIF(G23, "❌ Sai") + COUNTIF(I23, "❌ Sai") + COUNTIF(K23, "❌ Sai")</f>
        <v/>
      </c>
      <c r="M23" s="7">
        <f>IF(ISBLANK(F23), "⏳ Chờ làm", IF(G23="✅ Đúng", "✅ Đúng ngay L1", IF(I23="✅ Đúng", "✅ Đúng ở L2", IF(K23="✅ Đúng", "✅ Đúng ở L3", "❌ Chưa đúng sau 3 lần"))))</f>
        <v/>
      </c>
      <c r="N23" s="13">
        <f>IF(G23="✅ Đúng", 1, IF(I23="✅ Đúng", 0.667, IF(K23="✅ Đúng", 0.333, 0)))</f>
        <v/>
      </c>
      <c r="O23" s="5">
        <f>IF(ISBLANK(F23), "💡 Nhập đáp án vào Lần thử 1", IF(OR(G23="✅ Đúng", I23="✅ Đúng", K23="✅ Đúng"), "✨ Xuất sắc! Bạn đã làm đúng.", IF(NOT(ISBLANK(J23)), "💡 Gợi ý Tầng 3 (Chốt phương pháp): " &amp; "Loại bỏ phương án dùng dấu phẩy nối hai mệnh đề độc lập (lỗi comma splice).", IF(NOT(ISBLANK(H23)), "💡 Gợi ý Tầng 2 (Manh mối cấu trúc &amp; Loại trừ): " &amp; "Dấu hai chấm được dùng để giải thích hoặc chi tiết hóa nội dung đã nêu ở mệnh đề độc lập trước đó.", "💡 Gợi ý Tầng 1 (Định hướng bối cảnh): " &amp; "Kiểm tra xem vế trước vị trí cần điền có phải là một mệnh đề độc lập hoàn chỉnh hay không."))))</f>
        <v/>
      </c>
      <c r="P23" s="5">
        <f>IF(OR(G23="✅ Đúng", I23="✅ Đúng", K23="✅ Đúng"), "Dấu hai chấm (:) báo hiệu danh sách giải thích phía sau.", "🔒 Trả lời đúng để mở khóa Strategic Tip!")</f>
        <v/>
      </c>
    </row>
    <row r="24" ht="15.75" customHeight="1" s="19">
      <c r="A24" s="7" t="inlineStr">
        <is>
          <t>Q20</t>
        </is>
      </c>
      <c r="B24" s="5" t="inlineStr">
        <is>
          <t>Standard English Conventions (Semicolons &amp; Colons)</t>
        </is>
      </c>
      <c r="C24" s="5" t="inlineStr">
        <is>
          <t>Extensive radiocarbon dating of reed samples from Caral confirmed Ruth Shady Solís’s hypothesis about the Peruvian site’s ______ nearly 5,000 years ago, the ancient city preceded the Olmec civilization to the north by a full millennium, a revelation that fundamentally altered our understanding of urban development in the Western Hemisphere.</t>
        </is>
      </c>
      <c r="D24" s="5" t="inlineStr">
        <is>
          <t>Which choice completes the text so that it conforms to the conventions of Standard English?</t>
        </is>
      </c>
      <c r="E24" s="5" t="inlineStr">
        <is>
          <t>A. Lựa chọn A
B. Lựa chọn B
C. Lựa chọn C
D. Lựa chọn D</t>
        </is>
      </c>
      <c r="F24" s="14" t="n"/>
      <c r="G24" s="7">
        <f>IF(ISBLANK(F24), "⏳ Chờ đáp án", IF(UPPER(TRIM(F24))="B", "✅ Đúng", "❌ Sai"))</f>
        <v/>
      </c>
      <c r="H24" s="14" t="n"/>
      <c r="I24" s="7">
        <f>IF(ISBLANK(H24), "", IF(UPPER(TRIM(H24))="B", "✅ Đúng", "❌ Sai"))</f>
        <v/>
      </c>
      <c r="J24" s="14" t="n"/>
      <c r="K24" s="7">
        <f>IF(ISBLANK(J24), "", IF(UPPER(TRIM(J24))="B", "✅ Đúng", "❌ Sai"))</f>
        <v/>
      </c>
      <c r="L24" s="7">
        <f>COUNTIF(G24, "❌ Sai") + COUNTIF(I24, "❌ Sai") + COUNTIF(K24, "❌ Sai")</f>
        <v/>
      </c>
      <c r="M24" s="7">
        <f>IF(ISBLANK(F24), "⏳ Chờ làm", IF(G24="✅ Đúng", "✅ Đúng ngay L1", IF(I24="✅ Đúng", "✅ Đúng ở L2", IF(K24="✅ Đúng", "✅ Đúng ở L3", "❌ Chưa đúng sau 3 lần"))))</f>
        <v/>
      </c>
      <c r="N24" s="13">
        <f>IF(G24="✅ Đúng", 1, IF(I24="✅ Đúng", 0.667, IF(K24="✅ Đúng", 0.333, 0)))</f>
        <v/>
      </c>
      <c r="O24" s="5">
        <f>IF(ISBLANK(F24), "💡 Nhập đáp án vào Lần thử 1", IF(OR(G24="✅ Đúng", I24="✅ Đúng", K24="✅ Đúng"), "✨ Xuất sắc! Bạn đã làm đúng.", IF(NOT(ISBLANK(J24)), "💡 Gợi ý Tầng 3 (Chốt phương pháp): " &amp; "Loại bỏ phương án chỉ dùng dấu phẩy đơn lẻ giữa hai mệnh đề độc lập.", IF(NOT(ISBLANK(H24)), "💡 Gợi ý Tầng 2 (Manh mối cấu trúc &amp; Loại trừ): " &amp; "Nếu hai mệnh đề độc lập không có liên từ FANBOYS thì phải dùng dấu chấm phẩy hoặc dấu chấm.", "💡 Gợi ý Tầng 1 (Định hướng bối cảnh): " &amp; "Phân tích mối quan hệ giữa hai mệnh đề độc lập đứng trước và sau vị trí khoảng trống."))))</f>
        <v/>
      </c>
      <c r="P24" s="5">
        <f>IF(OR(G24="✅ Đúng", I24="✅ Đúng", K24="✅ Đúng"), "Dấu hai chấm nối 2 mệnh đề độc lập khi mệnh đề 2 giải thích cho mệnh đề 1.", "🔒 Trả lời đúng để mở khóa Strategic Tip!")</f>
        <v/>
      </c>
    </row>
    <row r="25" ht="15.75" customHeight="1" s="19">
      <c r="A25" s="7" t="inlineStr">
        <is>
          <t>Q21</t>
        </is>
      </c>
      <c r="B25" s="5" t="inlineStr">
        <is>
          <t>Standard English Conventions (Subject-Verb Agreement)</t>
        </is>
      </c>
      <c r="C25" s="5" t="inlineStr">
        <is>
          <t>Chemists investigating the properties of coal tar in the mid-nineteenth century discovered compounds that led to the creation of vibrant artificial colorants. Commercial applications of this new synthetic dye technology—beginning with the purple dye called mauve, discovered by William Perkin in 1856—______ responsible for launching what one science historian calls a “manufacturing revolution based on chemistry.”</t>
        </is>
      </c>
      <c r="D25" s="5" t="inlineStr">
        <is>
          <t>Which choice completes the text so that it conforms to the conventions of Standard English?</t>
        </is>
      </c>
      <c r="E25" s="5" t="inlineStr">
        <is>
          <t>A. Lựa chọn A
B. Lựa chọn B
C. Lựa chọn C
D. Lựa chọn D</t>
        </is>
      </c>
      <c r="F25" s="14" t="n"/>
      <c r="G25" s="7">
        <f>IF(ISBLANK(F25), "⏳ Chờ đáp án", IF(UPPER(TRIM(F25))="C", "✅ Đúng", "❌ Sai"))</f>
        <v/>
      </c>
      <c r="H25" s="14" t="n"/>
      <c r="I25" s="7">
        <f>IF(ISBLANK(H25), "", IF(UPPER(TRIM(H25))="C", "✅ Đúng", "❌ Sai"))</f>
        <v/>
      </c>
      <c r="J25" s="14" t="n"/>
      <c r="K25" s="7">
        <f>IF(ISBLANK(J25), "", IF(UPPER(TRIM(J25))="C", "✅ Đúng", "❌ Sai"))</f>
        <v/>
      </c>
      <c r="L25" s="7">
        <f>COUNTIF(G25, "❌ Sai") + COUNTIF(I25, "❌ Sai") + COUNTIF(K25, "❌ Sai")</f>
        <v/>
      </c>
      <c r="M25" s="7">
        <f>IF(ISBLANK(F25), "⏳ Chờ làm", IF(G25="✅ Đúng", "✅ Đúng ngay L1", IF(I25="✅ Đúng", "✅ Đúng ở L2", IF(K25="✅ Đúng", "✅ Đúng ở L3", "❌ Chưa đúng sau 3 lần"))))</f>
        <v/>
      </c>
      <c r="N25" s="13">
        <f>IF(G25="✅ Đúng", 1, IF(I25="✅ Đúng", 0.667, IF(K25="✅ Đúng", 0.333, 0)))</f>
        <v/>
      </c>
      <c r="O25" s="5">
        <f>IF(ISBLANK(F25), "💡 Nhập đáp án vào Lần thử 1", IF(OR(G25="✅ Đúng", I25="✅ Đúng", K25="✅ Đúng"), "✨ Xuất sắc! Bạn đã làm đúng.", IF(NOT(ISBLANK(J25)), "💡 Gợi ý Tầng 3 (Chốt phương pháp): " &amp; "Chọn dạng động từ hòa hợp chính xác về số với chủ ngữ trung tâm.", IF(NOT(ISBLANK(H25)), "💡 Gợi ý Tầng 2 (Manh mối cấu trúc &amp; Loại trừ): " &amp; "Kiểm tra xem chủ ngữ chính là danh từ số ít hay số nhiều.", "💡 Gợi ý Tầng 1 (Định hướng bối cảnh): " &amp; "Xác định chủ ngữ chính của câu bằng cách gạch bỏ các cụm giới từ nhiễu đứng giữa."))))</f>
        <v/>
      </c>
      <c r="P25" s="5">
        <f>IF(OR(G25="✅ Đúng", I25="✅ Đúng", K25="✅ Đúng"), "Gạch bỏ thông tin xen giữa trong hai dấu gạch ngang để xác định chủ ngữ chính.", "🔒 Trả lời đúng để mở khóa Strategic Tip!")</f>
        <v/>
      </c>
    </row>
    <row r="26" ht="15.75" customHeight="1" s="19">
      <c r="A26" s="7" t="inlineStr">
        <is>
          <t>Q22</t>
        </is>
      </c>
      <c r="B26" s="5" t="inlineStr">
        <is>
          <t>Transitions (Sequence &amp; Step)</t>
        </is>
      </c>
      <c r="C26" s="5" t="inlineStr">
        <is>
          <t>How does a clear evening become foggy? First, the ground releases heat, which radiates upward. This causes the air near the ground to cool. ______ tiny water droplets begin to form as the cooling air reaches its dew point and can no longer hold its moisture as invisible vapor. Finally, as more droplets accumulate, a visible layer of fog develops close to the ground.</t>
        </is>
      </c>
      <c r="D26" s="5" t="inlineStr">
        <is>
          <t>Which choice completes the text with the most logical transition?</t>
        </is>
      </c>
      <c r="E26" s="5" t="inlineStr">
        <is>
          <t>A. Lựa chọn A
B. Lựa chọn B
C. Lựa chọn C
D. Lựa chọn D</t>
        </is>
      </c>
      <c r="F26" s="14" t="n"/>
      <c r="G26" s="7">
        <f>IF(ISBLANK(F26), "⏳ Chờ đáp án", IF(UPPER(TRIM(F26))="D", "✅ Đúng", "❌ Sai"))</f>
        <v/>
      </c>
      <c r="H26" s="14" t="n"/>
      <c r="I26" s="7">
        <f>IF(ISBLANK(H26), "", IF(UPPER(TRIM(H26))="D", "✅ Đúng", "❌ Sai"))</f>
        <v/>
      </c>
      <c r="J26" s="14" t="n"/>
      <c r="K26" s="7">
        <f>IF(ISBLANK(J26), "", IF(UPPER(TRIM(J26))="D", "✅ Đúng", "❌ Sai"))</f>
        <v/>
      </c>
      <c r="L26" s="7">
        <f>COUNTIF(G26, "❌ Sai") + COUNTIF(I26, "❌ Sai") + COUNTIF(K26, "❌ Sai")</f>
        <v/>
      </c>
      <c r="M26" s="7">
        <f>IF(ISBLANK(F26), "⏳ Chờ làm", IF(G26="✅ Đúng", "✅ Đúng ngay L1", IF(I26="✅ Đúng", "✅ Đúng ở L2", IF(K26="✅ Đúng", "✅ Đúng ở L3", "❌ Chưa đúng sau 3 lần"))))</f>
        <v/>
      </c>
      <c r="N26" s="13">
        <f>IF(G26="✅ Đúng", 1, IF(I26="✅ Đúng", 0.667, IF(K26="✅ Đúng", 0.333, 0)))</f>
        <v/>
      </c>
      <c r="O26" s="5">
        <f>IF(ISBLANK(F26), "💡 Nhập đáp án vào Lần thử 1", IF(OR(G26="✅ Đúng", I26="✅ Đúng", K26="✅ Đúng"), "✨ Xuất sắc! Bạn đã làm đúng.", IF(NOT(ISBLANK(J26)), "💡 Gợi ý Tầng 3 (Chốt phương pháp): " &amp; "Chọn từ nối thể hiện chính xác mối quan hệ trình tự/kết quả được thiết lập.", IF(NOT(ISBLANK(H26)), "💡 Gợi ý Tầng 2 (Manh mối cấu trúc &amp; Loại trừ): " &amp; "Xác định xem câu sau đưa ra kết quả, sự đối lập, hay bước tiếp theo trong trình tự.", "💡 Gợi ý Tầng 1 (Định hướng bối cảnh): " &amp; "Phân tích mối quan hệ logic giữa hai câu văn đứng trước và sau từ nối."))))</f>
        <v/>
      </c>
      <c r="P26" s="5">
        <f>IF(OR(G26="✅ Đúng", I26="✅ Đúng", K26="✅ Đúng"), "Từ nối chỉ thứ tự các bước trong quy trình: Next.", "🔒 Trả lời đúng để mở khóa Strategic Tip!")</f>
        <v/>
      </c>
    </row>
    <row r="27" ht="15.75" customHeight="1" s="19">
      <c r="A27" s="7" t="inlineStr">
        <is>
          <t>Q23</t>
        </is>
      </c>
      <c r="B27" s="5" t="inlineStr">
        <is>
          <t>Transitions (Elaboration &amp; Specifics)</t>
        </is>
      </c>
      <c r="C27" s="5" t="inlineStr">
        <is>
          <t>Scientists studying forest restoration have discovered that trees depend on complex partnerships with microscopic organisms for survival. The researchers found that special fungi called endophytes live inside tree leaves and serve as a defense mechanism. ______ these endophytes help by fighting off diseases and boosting the tree’s immune system.</t>
        </is>
      </c>
      <c r="D27" s="5" t="inlineStr">
        <is>
          <t>Which choice completes the text with the most logical transition?</t>
        </is>
      </c>
      <c r="E27" s="5" t="inlineStr">
        <is>
          <t>A. Lựa chọn A
B. Lựa chọn B
C. Lựa chọn C
D. Lựa chọn D</t>
        </is>
      </c>
      <c r="F27" s="14" t="n"/>
      <c r="G27" s="7">
        <f>IF(ISBLANK(F27), "⏳ Chờ đáp án", IF(UPPER(TRIM(F27))="D", "✅ Đúng", "❌ Sai"))</f>
        <v/>
      </c>
      <c r="H27" s="14" t="n"/>
      <c r="I27" s="7">
        <f>IF(ISBLANK(H27), "", IF(UPPER(TRIM(H27))="D", "✅ Đúng", "❌ Sai"))</f>
        <v/>
      </c>
      <c r="J27" s="14" t="n"/>
      <c r="K27" s="7">
        <f>IF(ISBLANK(J27), "", IF(UPPER(TRIM(J27))="D", "✅ Đúng", "❌ Sai"))</f>
        <v/>
      </c>
      <c r="L27" s="7">
        <f>COUNTIF(G27, "❌ Sai") + COUNTIF(I27, "❌ Sai") + COUNTIF(K27, "❌ Sai")</f>
        <v/>
      </c>
      <c r="M27" s="7">
        <f>IF(ISBLANK(F27), "⏳ Chờ làm", IF(G27="✅ Đúng", "✅ Đúng ngay L1", IF(I27="✅ Đúng", "✅ Đúng ở L2", IF(K27="✅ Đúng", "✅ Đúng ở L3", "❌ Chưa đúng sau 3 lần"))))</f>
        <v/>
      </c>
      <c r="N27" s="13">
        <f>IF(G27="✅ Đúng", 1, IF(I27="✅ Đúng", 0.667, IF(K27="✅ Đúng", 0.333, 0)))</f>
        <v/>
      </c>
      <c r="O27" s="5">
        <f>IF(ISBLANK(F27), "💡 Nhập đáp án vào Lần thử 1", IF(OR(G27="✅ Đúng", I27="✅ Đúng", K27="✅ Đúng"), "✨ Xuất sắc! Bạn đã làm đúng.", IF(NOT(ISBLANK(J27)), "💡 Gợi ý Tầng 3 (Chốt phương pháp): " &amp; "Chọn từ nối mang nghĩa cụ thể hóa, minh họa hoặc diễn giải thêm.", IF(NOT(ISBLANK(H27)), "💡 Gợi ý Tầng 2 (Manh mối cấu trúc &amp; Loại trừ): " &amp; "Câu sau đưa ra thông tin chi tiết hoặc ví dụ cụ thể để làm rõ hơn cho nhận định trước.", "💡 Gợi ý Tầng 1 (Định hướng bối cảnh): " &amp; "Xác định vai trò của câu sau đối với ý tưởng tổng quát đã phát biểu ở câu trước."))))</f>
        <v/>
      </c>
      <c r="P27" s="5">
        <f>IF(OR(G27="✅ Đúng", I27="✅ Đúng", K27="✅ Đúng"), "Specifically = đi vào chi tiết minh họa cụ thể.", "🔒 Trả lời đúng để mở khóa Strategic Tip!")</f>
        <v/>
      </c>
    </row>
    <row r="28" ht="15.75" customHeight="1" s="19">
      <c r="A28" s="7" t="inlineStr">
        <is>
          <t>Q24</t>
        </is>
      </c>
      <c r="B28" s="5" t="inlineStr">
        <is>
          <t>Rhetorical Synthesis / Student Notes</t>
        </is>
      </c>
      <c r="C28" s="5" t="inlineStr">
        <is>
          <t>While researching a topic, a student has taken the following notes:
• Pistol shrimp are small marine crustaceans that hunt using a specialized oversized claw.
• When the claw snaps shut rapidly, it pushes water through a narrow groove at extreme speeds.
• This high-speed water jet creates a bubble that pops forcefully near the shrimp’s prey.
• The popping bubble generates shock waves powerful enough to stun small fish.</t>
        </is>
      </c>
      <c r="D28" s="5" t="inlineStr">
        <is>
          <t>The student wants to introduce pistol shrimp to an audience unfamiliar with these crustaceans. Which choice most effectively uses relevant information from the notes to accomplish this goal?</t>
        </is>
      </c>
      <c r="E28" s="5" t="inlineStr">
        <is>
          <t>A. Lựa chọn A
B. Lựa chọn B
C. Lựa chọn C
D. Lựa chọn D</t>
        </is>
      </c>
      <c r="F28" s="14" t="n"/>
      <c r="G28" s="7">
        <f>IF(ISBLANK(F28), "⏳ Chờ đáp án", IF(UPPER(TRIM(F28))="B", "✅ Đúng", "❌ Sai"))</f>
        <v/>
      </c>
      <c r="H28" s="14" t="n"/>
      <c r="I28" s="7">
        <f>IF(ISBLANK(H28), "", IF(UPPER(TRIM(H28))="B", "✅ Đúng", "❌ Sai"))</f>
        <v/>
      </c>
      <c r="J28" s="14" t="n"/>
      <c r="K28" s="7">
        <f>IF(ISBLANK(J28), "", IF(UPPER(TRIM(J28))="B", "✅ Đúng", "❌ Sai"))</f>
        <v/>
      </c>
      <c r="L28" s="7">
        <f>COUNTIF(G28, "❌ Sai") + COUNTIF(I28, "❌ Sai") + COUNTIF(K28, "❌ Sai")</f>
        <v/>
      </c>
      <c r="M28" s="7">
        <f>IF(ISBLANK(F28), "⏳ Chờ làm", IF(G28="✅ Đúng", "✅ Đúng ngay L1", IF(I28="✅ Đúng", "✅ Đúng ở L2", IF(K28="✅ Đúng", "✅ Đúng ở L3", "❌ Chưa đúng sau 3 lần"))))</f>
        <v/>
      </c>
      <c r="N28" s="13">
        <f>IF(G28="✅ Đúng", 1, IF(I28="✅ Đúng", 0.667, IF(K28="✅ Đúng", 0.333, 0)))</f>
        <v/>
      </c>
      <c r="O28" s="5">
        <f>IF(ISBLANK(F28), "💡 Nhập đáp án vào Lần thử 1", IF(OR(G28="✅ Đúng", I28="✅ Đúng", K28="✅ Đúng"), "✨ Xuất sắc! Bạn đã làm đúng.", IF(NOT(ISBLANK(J28)), "💡 Gợi ý Tầng 3 (Chốt phương pháp): " &amp; "Chọn câu tổng hợp trực tiếp đáp ứng đúng mục tiêu đề bài mà không thừa thông tin ngoài.", IF(NOT(ISBLANK(H28)), "💡 Gợi ý Tầng 2 (Manh mối cấu trúc &amp; Loại trừ): " &amp; "So sánh các ghi chú với mục tiêu được chỉ định trong yêu cầu.", "💡 Gợi ý Tầng 1 (Định hướng bối cảnh): " &amp; "Đọc kỹ yêu cầu đề bài (Goal) để biết thông tin nào cần được ưu tiên làm nổi bật."))))</f>
        <v/>
      </c>
      <c r="P28" s="5">
        <f>IF(OR(G28="✅ Đúng", I28="✅ Đúng", K28="✅ Đúng"), "Giới thiệu đối tượng mới = Nêu tên đối tượng + Định nghĩa/Đặc điểm nhận diện chính.", "🔒 Trả lời đúng để mở khóa Strategic Tip!")</f>
        <v/>
      </c>
    </row>
    <row r="29" ht="15.75" customHeight="1" s="19">
      <c r="A29" s="7" t="inlineStr">
        <is>
          <t>Q25</t>
        </is>
      </c>
      <c r="B29" s="5" t="inlineStr">
        <is>
          <t>Rhetorical Synthesis / Student Notes</t>
        </is>
      </c>
      <c r="C29" s="5" t="inlineStr">
        <is>
          <t>While researching a topic, a student has taken the following notes:
• Elizabeth Catlett (1915–2012) was a celebrated African American artist.
• She is best known for creating sculptures and prints that explore the Black experience.
• Standing Mother and Child is a 1980 sculpture by Catlett.
• New Generation is a 1992 print by Catlett.</t>
        </is>
      </c>
      <c r="D29" s="5" t="inlineStr">
        <is>
          <t>The student wants to provide an example of one of Catlett’s sculptures. Which choice most effectively uses relevant information from the notes to accomplish this goal?</t>
        </is>
      </c>
      <c r="E29" s="5" t="inlineStr">
        <is>
          <t>A. Lựa chọn A
B. Lựa chọn B
C. Lựa chọn C
D. Lựa chọn D</t>
        </is>
      </c>
      <c r="F29" s="14" t="n"/>
      <c r="G29" s="7">
        <f>IF(ISBLANK(F29), "⏳ Chờ đáp án", IF(UPPER(TRIM(F29))="B", "✅ Đúng", "❌ Sai"))</f>
        <v/>
      </c>
      <c r="H29" s="14" t="n"/>
      <c r="I29" s="7">
        <f>IF(ISBLANK(H29), "", IF(UPPER(TRIM(H29))="B", "✅ Đúng", "❌ Sai"))</f>
        <v/>
      </c>
      <c r="J29" s="14" t="n"/>
      <c r="K29" s="7">
        <f>IF(ISBLANK(J29), "", IF(UPPER(TRIM(J29))="B", "✅ Đúng", "❌ Sai"))</f>
        <v/>
      </c>
      <c r="L29" s="7">
        <f>COUNTIF(G29, "❌ Sai") + COUNTIF(I29, "❌ Sai") + COUNTIF(K29, "❌ Sai")</f>
        <v/>
      </c>
      <c r="M29" s="7">
        <f>IF(ISBLANK(F29), "⏳ Chờ làm", IF(G29="✅ Đúng", "✅ Đúng ngay L1", IF(I29="✅ Đúng", "✅ Đúng ở L2", IF(K29="✅ Đúng", "✅ Đúng ở L3", "❌ Chưa đúng sau 3 lần"))))</f>
        <v/>
      </c>
      <c r="N29" s="13">
        <f>IF(G29="✅ Đúng", 1, IF(I29="✅ Đúng", 0.667, IF(K29="✅ Đúng", 0.333, 0)))</f>
        <v/>
      </c>
      <c r="O29" s="5">
        <f>IF(ISBLANK(F29), "💡 Nhập đáp án vào Lần thử 1", IF(OR(G29="✅ Đúng", I29="✅ Đúng", K29="✅ Đúng"), "✨ Xuất sắc! Bạn đã làm đúng.", IF(NOT(ISBLANK(J29)), "💡 Gợi ý Tầng 3 (Chốt phương pháp): " &amp; "Chọn câu diễn đạt ngắn gọn, tập trung vào điểm nhấn được đề bài yêu cầu.", IF(NOT(ISBLANK(H29)), "💡 Gợi ý Tầng 2 (Manh mối cấu trúc &amp; Loại trừ): " &amp; "Lọc các ghi chú liên quan đến đối tượng hoặc sự kiện được chỉ định.", "💡 Gợi ý Tầng 1 (Định hướng bối cảnh): " &amp; "Xác định khía cạnh cụ thể mà đề bài yêu cầu người học phải nhấn mạnh từ ghi chú."))))</f>
        <v/>
      </c>
      <c r="P29" s="5">
        <f>IF(OR(G29="✅ Đúng", I29="✅ Đúng", K29="✅ Đúng"), "Đọc kĩ yêu cầu cụ thể của đề bài: 'example of one of Catlett's sculptures'.", "🔒 Trả lời đúng để mở khóa Strategic Tip!")</f>
        <v/>
      </c>
    </row>
    <row r="30" ht="15.75" customHeight="1" s="19">
      <c r="A30" s="7" t="inlineStr">
        <is>
          <t>Q26</t>
        </is>
      </c>
      <c r="B30" s="5" t="inlineStr">
        <is>
          <t>Rhetorical Synthesis / Student Notes</t>
        </is>
      </c>
      <c r="C30" s="5" t="inlineStr">
        <is>
          <t>While researching a topic, a student has taken the following notes:
• Chapantongo is a municipality in the state of Hidalgo, Mexico.
• Municipalities are governmental regions responsible for providing many public services to their residents.
• One service they provide is traffic control.
• Chapantongo’s population was 12,967 in 2020.
• Its population was 12,271 in 2010.
• Hidalgo is divided into 84 municipalities.</t>
        </is>
      </c>
      <c r="D30" s="5" t="inlineStr">
        <is>
          <t>The student wants to emphasize the 2020 population of Chapantongo. Which choice most effectively uses relevant information from the notes to accomplish this goal?</t>
        </is>
      </c>
      <c r="E30" s="5" t="inlineStr">
        <is>
          <t>A. Lựa chọn A
B. Lựa chọn B
C. Lựa chọn C
D. Lựa chọn D</t>
        </is>
      </c>
      <c r="F30" s="14" t="n"/>
      <c r="G30" s="7">
        <f>IF(ISBLANK(F30), "⏳ Chờ đáp án", IF(UPPER(TRIM(F30))="B", "✅ Đúng", "❌ Sai"))</f>
        <v/>
      </c>
      <c r="H30" s="14" t="n"/>
      <c r="I30" s="7">
        <f>IF(ISBLANK(H30), "", IF(UPPER(TRIM(H30))="B", "✅ Đúng", "❌ Sai"))</f>
        <v/>
      </c>
      <c r="J30" s="14" t="n"/>
      <c r="K30" s="7">
        <f>IF(ISBLANK(J30), "", IF(UPPER(TRIM(J30))="B", "✅ Đúng", "❌ Sai"))</f>
        <v/>
      </c>
      <c r="L30" s="7">
        <f>COUNTIF(G30, "❌ Sai") + COUNTIF(I30, "❌ Sai") + COUNTIF(K30, "❌ Sai")</f>
        <v/>
      </c>
      <c r="M30" s="7">
        <f>IF(ISBLANK(F30), "⏳ Chờ làm", IF(G30="✅ Đúng", "✅ Đúng ngay L1", IF(I30="✅ Đúng", "✅ Đúng ở L2", IF(K30="✅ Đúng", "✅ Đúng ở L3", "❌ Chưa đúng sau 3 lần"))))</f>
        <v/>
      </c>
      <c r="N30" s="13">
        <f>IF(G30="✅ Đúng", 1, IF(I30="✅ Đúng", 0.667, IF(K30="✅ Đúng", 0.333, 0)))</f>
        <v/>
      </c>
      <c r="O30" s="5">
        <f>IF(ISBLANK(F30), "💡 Nhập đáp án vào Lần thử 1", IF(OR(G30="✅ Đúng", I30="✅ Đúng", K30="✅ Đúng"), "✨ Xuất sắc! Bạn đã làm đúng.", IF(NOT(ISBLANK(J30)), "💡 Gợi ý Tầng 3 (Chốt phương pháp): " &amp; "Chọn đáp án có cấu trúc song song, truyền tải chính xác mối quan hệ giữa các dữ kiện.", IF(NOT(ISBLANK(H30)), "💡 Gợi ý Tầng 2 (Manh mối cấu trúc &amp; Loại trừ): " &amp; "Đối chiếu thông tin trong các ghi chú để tìm câu kết hợp đầy đủ hai vế cần so sánh.", "💡 Gợi ý Tầng 1 (Định hướng bối cảnh): " &amp; "Xem xét mục tiêu bài viết (ví dụ: so sánh hai nghiên cứu hay giới thiệu một phát minh)."))))</f>
        <v/>
      </c>
      <c r="P30" s="5">
        <f>IF(OR(G30="✅ Đúng", I30="✅ Đúng", K30="✅ Đúng"), "Đáp án phải chứa thông tin được yêu cầu làm trọng tâm: 2020 population = 12,967.", "🔒 Trả lời đúng để mở khóa Strategic Tip!")</f>
        <v/>
      </c>
    </row>
    <row r="31" ht="15.75" customHeight="1" s="19">
      <c r="A31" s="7" t="inlineStr">
        <is>
          <t>Q27</t>
        </is>
      </c>
      <c r="B31" s="5" t="inlineStr">
        <is>
          <t>Rhetorical Synthesis / Student Notes</t>
        </is>
      </c>
      <c r="C31" s="5" t="inlineStr">
        <is>
          <t>While researching a topic, a student has taken the following notes:
• The Future of Nostalgia is a scholarly book by literary theorist Svetlana Boym.
• The book explores the concept of nostalgia from various angles.
• Chapter 8 explores nostalgia and Europe’s largest shopping mall.
• Chapter 17 discusses various skeptics’ takes on the concept of nostalgia.
• In chapter 17, Boym writes, “The poethics of nostalgia combines estrangement and human solidarity,
affect and reflection.”</t>
        </is>
      </c>
      <c r="D31" s="5" t="inlineStr">
        <is>
          <t>The student wants to explain what Svetlana Boym writes about in chapter 8. Which choice most effectively uses relevant information from the notes to accomplish this goal?</t>
        </is>
      </c>
      <c r="E31" s="5" t="inlineStr">
        <is>
          <t>A. Lựa chọn A
B. Lựa chọn B
C. Lựa chọn C
D. Lựa chọn D</t>
        </is>
      </c>
      <c r="F31" s="14" t="n"/>
      <c r="G31" s="7">
        <f>IF(ISBLANK(F31), "⏳ Chờ đáp án", IF(UPPER(TRIM(F31))="C", "✅ Đúng", "❌ Sai"))</f>
        <v/>
      </c>
      <c r="H31" s="14" t="n"/>
      <c r="I31" s="7">
        <f>IF(ISBLANK(H31), "", IF(UPPER(TRIM(H31))="C", "✅ Đúng", "❌ Sai"))</f>
        <v/>
      </c>
      <c r="J31" s="14" t="n"/>
      <c r="K31" s="7">
        <f>IF(ISBLANK(J31), "", IF(UPPER(TRIM(J31))="C", "✅ Đúng", "❌ Sai"))</f>
        <v/>
      </c>
      <c r="L31" s="7">
        <f>COUNTIF(G31, "❌ Sai") + COUNTIF(I31, "❌ Sai") + COUNTIF(K31, "❌ Sai")</f>
        <v/>
      </c>
      <c r="M31" s="7">
        <f>IF(ISBLANK(F31), "⏳ Chờ làm", IF(G31="✅ Đúng", "✅ Đúng ngay L1", IF(I31="✅ Đúng", "✅ Đúng ở L2", IF(K31="✅ Đúng", "✅ Đúng ở L3", "❌ Chưa đúng sau 3 lần"))))</f>
        <v/>
      </c>
      <c r="N31" s="13">
        <f>IF(G31="✅ Đúng", 1, IF(I31="✅ Đúng", 0.667, IF(K31="✅ Đúng", 0.333, 0)))</f>
        <v/>
      </c>
      <c r="O31" s="5">
        <f>IF(ISBLANK(F31), "💡 Nhập đáp án vào Lần thử 1", IF(OR(G31="✅ Đúng", I31="✅ Đúng", K31="✅ Đúng"), "✨ Xuất sắc! Bạn đã làm đúng.", IF(NOT(ISBLANK(J31)), "💡 Gợi ý Tầng 3 (Chốt phương pháp): " &amp; "Chọn câu liên kết các ghi chú một cách mượt mà và đúng trọng tâm đề bài.", IF(NOT(ISBLANK(H31)), "💡 Gợi ý Tầng 2 (Manh mối cấu trúc &amp; Loại trừ): " &amp; "Lựa chọn thông tin trong danh sách ghi chú trực tiếp phục vụ cho mục đích đó.", "💡 Gợi ý Tầng 1 (Định hướng bối cảnh): " &amp; "Đọc yêu cầu để xác định đối tượng khán giả hoặc mục đích của câu văn cần viết."))))</f>
        <v/>
      </c>
      <c r="P31" s="5">
        <f>IF(OR(G31="✅ Đúng", I31="✅ Đúng", K31="✅ Đúng"), "Chỉ chọn phương án trả lời đúng mục tiêu 'explain what Boym writes in chapter 8'.", "🔒 Trả lời đúng để mở khóa Strategic Tip!")</f>
        <v/>
      </c>
    </row>
    <row r="32" ht="15.75" customHeight="1" s="19"/>
    <row r="33" ht="15.75" customHeight="1" s="19"/>
    <row r="34" ht="15.75" customHeight="1" s="19"/>
    <row r="35" ht="15.75" customHeight="1" s="19"/>
    <row r="36" ht="15.75" customHeight="1" s="19"/>
    <row r="37" ht="15.75" customHeight="1" s="19"/>
    <row r="38" ht="15.75" customHeight="1" s="19"/>
    <row r="39" ht="15.75" customHeight="1" s="19"/>
    <row r="40" ht="15.75" customHeight="1" s="19"/>
    <row r="41" ht="15.75" customHeight="1" s="19"/>
    <row r="42" ht="15.75" customHeight="1" s="19"/>
    <row r="43" ht="15.75" customHeight="1" s="19"/>
    <row r="44" ht="15.75" customHeight="1" s="19"/>
    <row r="45" ht="15.75" customHeight="1" s="19"/>
    <row r="46" ht="15.75" customHeight="1" s="19"/>
    <row r="47" ht="15.75" customHeight="1" s="19"/>
    <row r="48" ht="15.75" customHeight="1" s="19"/>
    <row r="49" ht="15.75" customHeight="1" s="19"/>
    <row r="50" ht="15.75" customHeight="1" s="19"/>
    <row r="51" ht="15.75" customHeight="1" s="19"/>
    <row r="52" ht="15.75" customHeight="1" s="19"/>
    <row r="53" ht="15.75" customHeight="1" s="19"/>
    <row r="54" ht="15.75" customHeight="1" s="19"/>
    <row r="55" ht="15.75" customHeight="1" s="19"/>
    <row r="56" ht="15.75" customHeight="1" s="19"/>
    <row r="57" ht="15.75" customHeight="1" s="19"/>
    <row r="58" ht="15.75" customHeight="1" s="19"/>
    <row r="59" ht="15.75" customHeight="1" s="19"/>
    <row r="60" ht="15.75" customHeight="1" s="19"/>
    <row r="61" ht="15.75" customHeight="1" s="19"/>
    <row r="62" ht="15.75" customHeight="1" s="19"/>
    <row r="63" ht="15.75" customHeight="1" s="19"/>
    <row r="64" ht="15.75" customHeight="1" s="19"/>
    <row r="65" ht="15.75" customHeight="1" s="19"/>
    <row r="66" ht="15.75" customHeight="1" s="19"/>
    <row r="67" ht="15.75" customHeight="1" s="19"/>
    <row r="68" ht="15.75" customHeight="1" s="19"/>
    <row r="69" ht="15.75" customHeight="1" s="19"/>
    <row r="70" ht="15.75" customHeight="1" s="19"/>
    <row r="71" ht="15.75" customHeight="1" s="19"/>
    <row r="72" ht="15.75" customHeight="1" s="19"/>
    <row r="73" ht="15.75" customHeight="1" s="19"/>
    <row r="74" ht="15.75" customHeight="1" s="19"/>
    <row r="75" ht="15.75" customHeight="1" s="19"/>
    <row r="76" ht="15.75" customHeight="1" s="19"/>
    <row r="77" ht="15.75" customHeight="1" s="19"/>
    <row r="78" ht="15.75" customHeight="1" s="19"/>
    <row r="79" ht="15.75" customHeight="1" s="19"/>
    <row r="80" ht="15.75" customHeight="1" s="19"/>
    <row r="81" ht="15.75" customHeight="1" s="19"/>
    <row r="82" ht="15.75" customHeight="1" s="19"/>
    <row r="83" ht="15.75" customHeight="1" s="19"/>
    <row r="84" ht="15.75" customHeight="1" s="19"/>
    <row r="85" ht="15.75" customHeight="1" s="19"/>
    <row r="86" ht="15.75" customHeight="1" s="19"/>
    <row r="87" ht="15.75" customHeight="1" s="19"/>
    <row r="88" ht="15.75" customHeight="1" s="19"/>
    <row r="89" ht="15.75" customHeight="1" s="19"/>
    <row r="90" ht="15.75" customHeight="1" s="19"/>
    <row r="91" ht="15.75" customHeight="1" s="19"/>
    <row r="92" ht="15.75" customHeight="1" s="19"/>
    <row r="93" ht="15.75" customHeight="1" s="19"/>
    <row r="94" ht="15.75" customHeight="1" s="19"/>
    <row r="95" ht="15.75" customHeight="1" s="19"/>
    <row r="96" ht="15.75" customHeight="1" s="19"/>
    <row r="97" ht="15.75" customHeight="1" s="19"/>
    <row r="98" ht="15.75" customHeight="1" s="19"/>
    <row r="99" ht="15.75" customHeight="1" s="19"/>
    <row r="100" ht="15.75" customHeight="1" s="19"/>
    <row r="101" ht="15.75" customHeight="1" s="19"/>
    <row r="102" ht="15.75" customHeight="1" s="19"/>
    <row r="103" ht="15.75" customHeight="1" s="19"/>
    <row r="104" ht="15.75" customHeight="1" s="19"/>
    <row r="105" ht="15.75" customHeight="1" s="19"/>
    <row r="106" ht="15.75" customHeight="1" s="19"/>
    <row r="107" ht="15.75" customHeight="1" s="19"/>
    <row r="108" ht="15.75" customHeight="1" s="19"/>
    <row r="109" ht="15.75" customHeight="1" s="19"/>
    <row r="110" ht="15.75" customHeight="1" s="19"/>
    <row r="111" ht="15.75" customHeight="1" s="19"/>
    <row r="112" ht="15.75" customHeight="1" s="19"/>
    <row r="113" ht="15.75" customHeight="1" s="19"/>
    <row r="114" ht="15.75" customHeight="1" s="19"/>
    <row r="115" ht="15.75" customHeight="1" s="19"/>
    <row r="116" ht="15.75" customHeight="1" s="19"/>
    <row r="117" ht="15.75" customHeight="1" s="19"/>
    <row r="118" ht="15.75" customHeight="1" s="19"/>
    <row r="119" ht="15.75" customHeight="1" s="19"/>
    <row r="120" ht="15.75" customHeight="1" s="19"/>
    <row r="121" ht="15.75" customHeight="1" s="19"/>
    <row r="122" ht="15.75" customHeight="1" s="19"/>
    <row r="123" ht="15.75" customHeight="1" s="19"/>
    <row r="124" ht="15.75" customHeight="1" s="19"/>
    <row r="125" ht="15.75" customHeight="1" s="19"/>
    <row r="126" ht="15.75" customHeight="1" s="19"/>
    <row r="127" ht="15.75" customHeight="1" s="19"/>
    <row r="128" ht="15.75" customHeight="1" s="19"/>
    <row r="129" ht="15.75" customHeight="1" s="19"/>
    <row r="130" ht="15.75" customHeight="1" s="19"/>
    <row r="131" ht="15.75" customHeight="1" s="19"/>
    <row r="132" ht="15.75" customHeight="1" s="19"/>
    <row r="133" ht="15.75" customHeight="1" s="19"/>
    <row r="134" ht="15.75" customHeight="1" s="19"/>
    <row r="135" ht="15.75" customHeight="1" s="19"/>
    <row r="136" ht="15.75" customHeight="1" s="19"/>
    <row r="137" ht="15.75" customHeight="1" s="19"/>
    <row r="138" ht="15.75" customHeight="1" s="19"/>
    <row r="139" ht="15.75" customHeight="1" s="19"/>
    <row r="140" ht="15.75" customHeight="1" s="19"/>
    <row r="141" ht="15.75" customHeight="1" s="19"/>
    <row r="142" ht="15.75" customHeight="1" s="19"/>
    <row r="143" ht="15.75" customHeight="1" s="19"/>
    <row r="144" ht="15.75" customHeight="1" s="19"/>
    <row r="145" ht="15.75" customHeight="1" s="19"/>
    <row r="146" ht="15.75" customHeight="1" s="19"/>
    <row r="147" ht="15.75" customHeight="1" s="19"/>
    <row r="148" ht="15.75" customHeight="1" s="19"/>
    <row r="149" ht="15.75" customHeight="1" s="19"/>
    <row r="150" ht="15.75" customHeight="1" s="19"/>
    <row r="151" ht="15.75" customHeight="1" s="19"/>
    <row r="152" ht="15.75" customHeight="1" s="19"/>
    <row r="153" ht="15.75" customHeight="1" s="19"/>
    <row r="154" ht="15.75" customHeight="1" s="19"/>
    <row r="155" ht="15.75" customHeight="1" s="19"/>
    <row r="156" ht="15.75" customHeight="1" s="19"/>
    <row r="157" ht="15.75" customHeight="1" s="19"/>
    <row r="158" ht="15.75" customHeight="1" s="19"/>
    <row r="159" ht="15.75" customHeight="1" s="19"/>
    <row r="160" ht="15.75" customHeight="1" s="19"/>
    <row r="161" ht="15.75" customHeight="1" s="19"/>
    <row r="162" ht="15.75" customHeight="1" s="19"/>
    <row r="163" ht="15.75" customHeight="1" s="19"/>
    <row r="164" ht="15.75" customHeight="1" s="19"/>
    <row r="165" ht="15.75" customHeight="1" s="19"/>
    <row r="166" ht="15.75" customHeight="1" s="19"/>
    <row r="167" ht="15.75" customHeight="1" s="19"/>
    <row r="168" ht="15.75" customHeight="1" s="19"/>
    <row r="169" ht="15.75" customHeight="1" s="19"/>
    <row r="170" ht="15.75" customHeight="1" s="19"/>
    <row r="171" ht="15.75" customHeight="1" s="19"/>
    <row r="172" ht="15.75" customHeight="1" s="19"/>
    <row r="173" ht="15.75" customHeight="1" s="19"/>
    <row r="174" ht="15.75" customHeight="1" s="19"/>
    <row r="175" ht="15.75" customHeight="1" s="19"/>
    <row r="176" ht="15.75" customHeight="1" s="19"/>
    <row r="177" ht="15.75" customHeight="1" s="19"/>
    <row r="178" ht="15.75" customHeight="1" s="19"/>
    <row r="179" ht="15.75" customHeight="1" s="19"/>
    <row r="180" ht="15.75" customHeight="1" s="19"/>
    <row r="181" ht="15.75" customHeight="1" s="19"/>
    <row r="182" ht="15.75" customHeight="1" s="19"/>
    <row r="183" ht="15.75" customHeight="1" s="19"/>
    <row r="184" ht="15.75" customHeight="1" s="19"/>
    <row r="185" ht="15.75" customHeight="1" s="19"/>
    <row r="186" ht="15.75" customHeight="1" s="19"/>
    <row r="187" ht="15.75" customHeight="1" s="19"/>
    <row r="188" ht="15.75" customHeight="1" s="19"/>
    <row r="189" ht="15.75" customHeight="1" s="19"/>
    <row r="190" ht="15.75" customHeight="1" s="19"/>
    <row r="191" ht="15.75" customHeight="1" s="19"/>
    <row r="192" ht="15.75" customHeight="1" s="19"/>
    <row r="193" ht="15.75" customHeight="1" s="19"/>
    <row r="194" ht="15.75" customHeight="1" s="19"/>
    <row r="195" ht="15.75" customHeight="1" s="19"/>
    <row r="196" ht="15.75" customHeight="1" s="19"/>
    <row r="197" ht="15.75" customHeight="1" s="19"/>
    <row r="198" ht="15.75" customHeight="1" s="19"/>
    <row r="199" ht="15.75" customHeight="1" s="19"/>
    <row r="200" ht="15.75" customHeight="1" s="19"/>
    <row r="201" ht="15.75" customHeight="1" s="19"/>
    <row r="202" ht="15.75" customHeight="1" s="19"/>
    <row r="203" ht="15.75" customHeight="1" s="19"/>
    <row r="204" ht="15.75" customHeight="1" s="19"/>
    <row r="205" ht="15.75" customHeight="1" s="19"/>
    <row r="206" ht="15.75" customHeight="1" s="19"/>
    <row r="207" ht="15.75" customHeight="1" s="19"/>
    <row r="208" ht="15.75" customHeight="1" s="19"/>
    <row r="209" ht="15.75" customHeight="1" s="19"/>
    <row r="210" ht="15.75" customHeight="1" s="19"/>
    <row r="211" ht="15.75" customHeight="1" s="19"/>
    <row r="212" ht="15.75" customHeight="1" s="19"/>
    <row r="213" ht="15.75" customHeight="1" s="19"/>
    <row r="214" ht="15.75" customHeight="1" s="19"/>
    <row r="215" ht="15.75" customHeight="1" s="19"/>
    <row r="216" ht="15.75" customHeight="1" s="19"/>
    <row r="217" ht="15.75" customHeight="1" s="19"/>
    <row r="218" ht="15.75" customHeight="1" s="19"/>
    <row r="219" ht="15.75" customHeight="1" s="19"/>
    <row r="220" ht="15.75" customHeight="1" s="19"/>
    <row r="221" ht="15.75" customHeight="1" s="19"/>
    <row r="222" ht="15.75" customHeight="1" s="19"/>
    <row r="223" ht="15.75" customHeight="1" s="19"/>
    <row r="224" ht="15.75" customHeight="1" s="19"/>
    <row r="225" ht="15.75" customHeight="1" s="19"/>
    <row r="226" ht="15.75" customHeight="1" s="19"/>
    <row r="227" ht="15.75" customHeight="1" s="19"/>
    <row r="228" ht="15.75" customHeight="1" s="19"/>
    <row r="229" ht="15.75" customHeight="1" s="19"/>
    <row r="230" ht="15.75" customHeight="1" s="19"/>
    <row r="231" ht="15.75" customHeight="1" s="19"/>
    <row r="232" ht="15.75" customHeight="1" s="19"/>
    <row r="233" ht="15.75" customHeight="1" s="19"/>
    <row r="234" ht="15.75" customHeight="1" s="19"/>
    <row r="235" ht="15.75" customHeight="1" s="19"/>
    <row r="236" ht="15.75" customHeight="1" s="19"/>
    <row r="237" ht="15.75" customHeight="1" s="19"/>
    <row r="238" ht="15.75" customHeight="1" s="19"/>
    <row r="239" ht="15.75" customHeight="1" s="19"/>
    <row r="240" ht="15.75" customHeight="1" s="19"/>
    <row r="241" ht="15.75" customHeight="1" s="19"/>
    <row r="242" ht="15.75" customHeight="1" s="19"/>
    <row r="243" ht="15.75" customHeight="1" s="19"/>
    <row r="244" ht="15.75" customHeight="1" s="19"/>
    <row r="245" ht="15.75" customHeight="1" s="19"/>
    <row r="246" ht="15.75" customHeight="1" s="19"/>
    <row r="247" ht="15.75" customHeight="1" s="19"/>
    <row r="248" ht="15.75" customHeight="1" s="19"/>
    <row r="249" ht="15.75" customHeight="1" s="19"/>
    <row r="250" ht="15.75" customHeight="1" s="19"/>
    <row r="251" ht="15.75" customHeight="1" s="19"/>
    <row r="252" ht="15.75" customHeight="1" s="19"/>
    <row r="253" ht="15.75" customHeight="1" s="19"/>
    <row r="254" ht="15.75" customHeight="1" s="19"/>
    <row r="255" ht="15.75" customHeight="1" s="19"/>
    <row r="256" ht="15.75" customHeight="1" s="19"/>
    <row r="257" ht="15.75" customHeight="1" s="19"/>
    <row r="258" ht="15.75" customHeight="1" s="19"/>
    <row r="259" ht="15.75" customHeight="1" s="19"/>
    <row r="260" ht="15.75" customHeight="1" s="19"/>
    <row r="261" ht="15.75" customHeight="1" s="19"/>
    <row r="262" ht="15.75" customHeight="1" s="19"/>
    <row r="263" ht="15.75" customHeight="1" s="19"/>
    <row r="264" ht="15.75" customHeight="1" s="19"/>
    <row r="265" ht="15.75" customHeight="1" s="19"/>
    <row r="266" ht="15.75" customHeight="1" s="19"/>
    <row r="267" ht="15.75" customHeight="1" s="19"/>
    <row r="268" ht="15.75" customHeight="1" s="19"/>
    <row r="269" ht="15.75" customHeight="1" s="19"/>
    <row r="270" ht="15.75" customHeight="1" s="19"/>
    <row r="271" ht="15.75" customHeight="1" s="19"/>
    <row r="272" ht="15.75" customHeight="1" s="19"/>
    <row r="273" ht="15.75" customHeight="1" s="19"/>
    <row r="274" ht="15.75" customHeight="1" s="19"/>
    <row r="275" ht="15.75" customHeight="1" s="19"/>
    <row r="276" ht="15.75" customHeight="1" s="19"/>
    <row r="277" ht="15.75" customHeight="1" s="19"/>
    <row r="278" ht="15.75" customHeight="1" s="19"/>
    <row r="279" ht="15.75" customHeight="1" s="19"/>
    <row r="280" ht="15.75" customHeight="1" s="19"/>
    <row r="281" ht="15.75" customHeight="1" s="19"/>
    <row r="282" ht="15.75" customHeight="1" s="19"/>
    <row r="283" ht="15.75" customHeight="1" s="19"/>
    <row r="284" ht="15.75" customHeight="1" s="19"/>
    <row r="285" ht="15.75" customHeight="1" s="19"/>
    <row r="286" ht="15.75" customHeight="1" s="19"/>
    <row r="287" ht="15.75" customHeight="1" s="19"/>
    <row r="288" ht="15.75" customHeight="1" s="19"/>
    <row r="289" ht="15.75" customHeight="1" s="19"/>
    <row r="290" ht="15.75" customHeight="1" s="19"/>
    <row r="291" ht="15.75" customHeight="1" s="19"/>
    <row r="292" ht="15.75" customHeight="1" s="19"/>
    <row r="293" ht="15.75" customHeight="1" s="19"/>
    <row r="294" ht="15.75" customHeight="1" s="19"/>
    <row r="295" ht="15.75" customHeight="1" s="19"/>
    <row r="296" ht="15.75" customHeight="1" s="19"/>
    <row r="297" ht="15.75" customHeight="1" s="19"/>
    <row r="298" ht="15.75" customHeight="1" s="19"/>
    <row r="299" ht="15.75" customHeight="1" s="19"/>
    <row r="300" ht="15.75" customHeight="1" s="19"/>
    <row r="301" ht="15.75" customHeight="1" s="19"/>
    <row r="302" ht="15.75" customHeight="1" s="19"/>
    <row r="303" ht="15.75" customHeight="1" s="19"/>
    <row r="304" ht="15.75" customHeight="1" s="19"/>
    <row r="305" ht="15.75" customHeight="1" s="19"/>
    <row r="306" ht="15.75" customHeight="1" s="19"/>
    <row r="307" ht="15.75" customHeight="1" s="19"/>
    <row r="308" ht="15.75" customHeight="1" s="19"/>
    <row r="309" ht="15.75" customHeight="1" s="19"/>
    <row r="310" ht="15.75" customHeight="1" s="19"/>
    <row r="311" ht="15.75" customHeight="1" s="19"/>
    <row r="312" ht="15.75" customHeight="1" s="19"/>
    <row r="313" ht="15.75" customHeight="1" s="19"/>
    <row r="314" ht="15.75" customHeight="1" s="19"/>
    <row r="315" ht="15.75" customHeight="1" s="19"/>
    <row r="316" ht="15.75" customHeight="1" s="19"/>
    <row r="317" ht="15.75" customHeight="1" s="19"/>
    <row r="318" ht="15.75" customHeight="1" s="19"/>
    <row r="319" ht="15.75" customHeight="1" s="19"/>
    <row r="320" ht="15.75" customHeight="1" s="19"/>
    <row r="321" ht="15.75" customHeight="1" s="19"/>
    <row r="322" ht="15.75" customHeight="1" s="19"/>
    <row r="323" ht="15.75" customHeight="1" s="19"/>
    <row r="324" ht="15.75" customHeight="1" s="19"/>
    <row r="325" ht="15.75" customHeight="1" s="19"/>
    <row r="326" ht="15.75" customHeight="1" s="19"/>
    <row r="327" ht="15.75" customHeight="1" s="19"/>
    <row r="328" ht="15.75" customHeight="1" s="19"/>
    <row r="329" ht="15.75" customHeight="1" s="19"/>
    <row r="330" ht="15.75" customHeight="1" s="19"/>
    <row r="331" ht="15.75" customHeight="1" s="19"/>
    <row r="332" ht="15.75" customHeight="1" s="19"/>
    <row r="333" ht="15.75" customHeight="1" s="19"/>
    <row r="334" ht="15.75" customHeight="1" s="19"/>
    <row r="335" ht="15.75" customHeight="1" s="19"/>
    <row r="336" ht="15.75" customHeight="1" s="19"/>
    <row r="337" ht="15.75" customHeight="1" s="19"/>
    <row r="338" ht="15.75" customHeight="1" s="19"/>
    <row r="339" ht="15.75" customHeight="1" s="19"/>
    <row r="340" ht="15.75" customHeight="1" s="19"/>
    <row r="341" ht="15.75" customHeight="1" s="19"/>
    <row r="342" ht="15.75" customHeight="1" s="19"/>
    <row r="343" ht="15.75" customHeight="1" s="19"/>
    <row r="344" ht="15.75" customHeight="1" s="19"/>
    <row r="345" ht="15.75" customHeight="1" s="19"/>
    <row r="346" ht="15.75" customHeight="1" s="19"/>
    <row r="347" ht="15.75" customHeight="1" s="19"/>
    <row r="348" ht="15.75" customHeight="1" s="19"/>
    <row r="349" ht="15.75" customHeight="1" s="19"/>
    <row r="350" ht="15.75" customHeight="1" s="19"/>
    <row r="351" ht="15.75" customHeight="1" s="19"/>
    <row r="352" ht="15.75" customHeight="1" s="19"/>
    <row r="353" ht="15.75" customHeight="1" s="19"/>
    <row r="354" ht="15.75" customHeight="1" s="19"/>
    <row r="355" ht="15.75" customHeight="1" s="19"/>
    <row r="356" ht="15.75" customHeight="1" s="19"/>
    <row r="357" ht="15.75" customHeight="1" s="19"/>
    <row r="358" ht="15.75" customHeight="1" s="19"/>
    <row r="359" ht="15.75" customHeight="1" s="19"/>
    <row r="360" ht="15.75" customHeight="1" s="19"/>
    <row r="361" ht="15.75" customHeight="1" s="19"/>
    <row r="362" ht="15.75" customHeight="1" s="19"/>
    <row r="363" ht="15.75" customHeight="1" s="19"/>
    <row r="364" ht="15.75" customHeight="1" s="19"/>
    <row r="365" ht="15.75" customHeight="1" s="19"/>
    <row r="366" ht="15.75" customHeight="1" s="19"/>
    <row r="367" ht="15.75" customHeight="1" s="19"/>
    <row r="368" ht="15.75" customHeight="1" s="19"/>
    <row r="369" ht="15.75" customHeight="1" s="19"/>
    <row r="370" ht="15.75" customHeight="1" s="19"/>
    <row r="371" ht="15.75" customHeight="1" s="19"/>
    <row r="372" ht="15.75" customHeight="1" s="19"/>
    <row r="373" ht="15.75" customHeight="1" s="19"/>
    <row r="374" ht="15.75" customHeight="1" s="19"/>
    <row r="375" ht="15.75" customHeight="1" s="19"/>
    <row r="376" ht="15.75" customHeight="1" s="19"/>
    <row r="377" ht="15.75" customHeight="1" s="19"/>
    <row r="378" ht="15.75" customHeight="1" s="19"/>
    <row r="379" ht="15.75" customHeight="1" s="19"/>
    <row r="380" ht="15.75" customHeight="1" s="19"/>
    <row r="381" ht="15.75" customHeight="1" s="19"/>
    <row r="382" ht="15.75" customHeight="1" s="19"/>
    <row r="383" ht="15.75" customHeight="1" s="19"/>
    <row r="384" ht="15.75" customHeight="1" s="19"/>
    <row r="385" ht="15.75" customHeight="1" s="19"/>
    <row r="386" ht="15.75" customHeight="1" s="19"/>
    <row r="387" ht="15.75" customHeight="1" s="19"/>
    <row r="388" ht="15.75" customHeight="1" s="19"/>
    <row r="389" ht="15.75" customHeight="1" s="19"/>
    <row r="390" ht="15.75" customHeight="1" s="19"/>
    <row r="391" ht="15.75" customHeight="1" s="19"/>
    <row r="392" ht="15.75" customHeight="1" s="19"/>
    <row r="393" ht="15.75" customHeight="1" s="19"/>
    <row r="394" ht="15.75" customHeight="1" s="19"/>
    <row r="395" ht="15.75" customHeight="1" s="19"/>
    <row r="396" ht="15.75" customHeight="1" s="19"/>
    <row r="397" ht="15.75" customHeight="1" s="19"/>
    <row r="398" ht="15.75" customHeight="1" s="19"/>
    <row r="399" ht="15.75" customHeight="1" s="19"/>
    <row r="400" ht="15.75" customHeight="1" s="19"/>
    <row r="401" ht="15.75" customHeight="1" s="19"/>
    <row r="402" ht="15.75" customHeight="1" s="19"/>
    <row r="403" ht="15.75" customHeight="1" s="19"/>
    <row r="404" ht="15.75" customHeight="1" s="19"/>
    <row r="405" ht="15.75" customHeight="1" s="19"/>
    <row r="406" ht="15.75" customHeight="1" s="19"/>
    <row r="407" ht="15.75" customHeight="1" s="19"/>
    <row r="408" ht="15.75" customHeight="1" s="19"/>
    <row r="409" ht="15.75" customHeight="1" s="19"/>
    <row r="410" ht="15.75" customHeight="1" s="19"/>
    <row r="411" ht="15.75" customHeight="1" s="19"/>
    <row r="412" ht="15.75" customHeight="1" s="19"/>
    <row r="413" ht="15.75" customHeight="1" s="19"/>
    <row r="414" ht="15.75" customHeight="1" s="19"/>
    <row r="415" ht="15.75" customHeight="1" s="19"/>
    <row r="416" ht="15.75" customHeight="1" s="19"/>
    <row r="417" ht="15.75" customHeight="1" s="19"/>
    <row r="418" ht="15.75" customHeight="1" s="19"/>
    <row r="419" ht="15.75" customHeight="1" s="19"/>
    <row r="420" ht="15.75" customHeight="1" s="19"/>
    <row r="421" ht="15.75" customHeight="1" s="19"/>
    <row r="422" ht="15.75" customHeight="1" s="19"/>
    <row r="423" ht="15.75" customHeight="1" s="19"/>
    <row r="424" ht="15.75" customHeight="1" s="19"/>
    <row r="425" ht="15.75" customHeight="1" s="19"/>
    <row r="426" ht="15.75" customHeight="1" s="19"/>
    <row r="427" ht="15.75" customHeight="1" s="19"/>
    <row r="428" ht="15.75" customHeight="1" s="19"/>
    <row r="429" ht="15.75" customHeight="1" s="19"/>
    <row r="430" ht="15.75" customHeight="1" s="19"/>
    <row r="431" ht="15.75" customHeight="1" s="19"/>
    <row r="432" ht="15.75" customHeight="1" s="19"/>
    <row r="433" ht="15.75" customHeight="1" s="19"/>
    <row r="434" ht="15.75" customHeight="1" s="19"/>
    <row r="435" ht="15.75" customHeight="1" s="19"/>
    <row r="436" ht="15.75" customHeight="1" s="19"/>
    <row r="437" ht="15.75" customHeight="1" s="19"/>
    <row r="438" ht="15.75" customHeight="1" s="19"/>
    <row r="439" ht="15.75" customHeight="1" s="19"/>
    <row r="440" ht="15.75" customHeight="1" s="19"/>
    <row r="441" ht="15.75" customHeight="1" s="19"/>
    <row r="442" ht="15.75" customHeight="1" s="19"/>
    <row r="443" ht="15.75" customHeight="1" s="19"/>
    <row r="444" ht="15.75" customHeight="1" s="19"/>
    <row r="445" ht="15.75" customHeight="1" s="19"/>
    <row r="446" ht="15.75" customHeight="1" s="19"/>
    <row r="447" ht="15.75" customHeight="1" s="19"/>
    <row r="448" ht="15.75" customHeight="1" s="19"/>
    <row r="449" ht="15.75" customHeight="1" s="19"/>
    <row r="450" ht="15.75" customHeight="1" s="19"/>
    <row r="451" ht="15.75" customHeight="1" s="19"/>
    <row r="452" ht="15.75" customHeight="1" s="19"/>
    <row r="453" ht="15.75" customHeight="1" s="19"/>
    <row r="454" ht="15.75" customHeight="1" s="19"/>
    <row r="455" ht="15.75" customHeight="1" s="19"/>
    <row r="456" ht="15.75" customHeight="1" s="19"/>
    <row r="457" ht="15.75" customHeight="1" s="19"/>
    <row r="458" ht="15.75" customHeight="1" s="19"/>
    <row r="459" ht="15.75" customHeight="1" s="19"/>
    <row r="460" ht="15.75" customHeight="1" s="19"/>
    <row r="461" ht="15.75" customHeight="1" s="19"/>
    <row r="462" ht="15.75" customHeight="1" s="19"/>
    <row r="463" ht="15.75" customHeight="1" s="19"/>
    <row r="464" ht="15.75" customHeight="1" s="19"/>
    <row r="465" ht="15.75" customHeight="1" s="19"/>
    <row r="466" ht="15.75" customHeight="1" s="19"/>
    <row r="467" ht="15.75" customHeight="1" s="19"/>
    <row r="468" ht="15.75" customHeight="1" s="19"/>
    <row r="469" ht="15.75" customHeight="1" s="19"/>
    <row r="470" ht="15.75" customHeight="1" s="19"/>
    <row r="471" ht="15.75" customHeight="1" s="19"/>
    <row r="472" ht="15.75" customHeight="1" s="19"/>
    <row r="473" ht="15.75" customHeight="1" s="19"/>
    <row r="474" ht="15.75" customHeight="1" s="19"/>
    <row r="475" ht="15.75" customHeight="1" s="19"/>
    <row r="476" ht="15.75" customHeight="1" s="19"/>
    <row r="477" ht="15.75" customHeight="1" s="19"/>
    <row r="478" ht="15.75" customHeight="1" s="19"/>
    <row r="479" ht="15.75" customHeight="1" s="19"/>
    <row r="480" ht="15.75" customHeight="1" s="19"/>
    <row r="481" ht="15.75" customHeight="1" s="19"/>
    <row r="482" ht="15.75" customHeight="1" s="19"/>
    <row r="483" ht="15.75" customHeight="1" s="19"/>
    <row r="484" ht="15.75" customHeight="1" s="19"/>
    <row r="485" ht="15.75" customHeight="1" s="19"/>
    <row r="486" ht="15.75" customHeight="1" s="19"/>
    <row r="487" ht="15.75" customHeight="1" s="19"/>
    <row r="488" ht="15.75" customHeight="1" s="19"/>
    <row r="489" ht="15.75" customHeight="1" s="19"/>
    <row r="490" ht="15.75" customHeight="1" s="19"/>
    <row r="491" ht="15.75" customHeight="1" s="19"/>
    <row r="492" ht="15.75" customHeight="1" s="19"/>
    <row r="493" ht="15.75" customHeight="1" s="19"/>
    <row r="494" ht="15.75" customHeight="1" s="19"/>
    <row r="495" ht="15.75" customHeight="1" s="19"/>
    <row r="496" ht="15.75" customHeight="1" s="19"/>
    <row r="497" ht="15.75" customHeight="1" s="19"/>
    <row r="498" ht="15.75" customHeight="1" s="19"/>
    <row r="499" ht="15.75" customHeight="1" s="19"/>
    <row r="500" ht="15.75" customHeight="1" s="19"/>
    <row r="501" ht="15.75" customHeight="1" s="19"/>
    <row r="502" ht="15.75" customHeight="1" s="19"/>
    <row r="503" ht="15.75" customHeight="1" s="19"/>
    <row r="504" ht="15.75" customHeight="1" s="19"/>
    <row r="505" ht="15.75" customHeight="1" s="19"/>
    <row r="506" ht="15.75" customHeight="1" s="19"/>
    <row r="507" ht="15.75" customHeight="1" s="19"/>
    <row r="508" ht="15.75" customHeight="1" s="19"/>
    <row r="509" ht="15.75" customHeight="1" s="19"/>
    <row r="510" ht="15.75" customHeight="1" s="19"/>
    <row r="511" ht="15.75" customHeight="1" s="19"/>
    <row r="512" ht="15.75" customHeight="1" s="19"/>
    <row r="513" ht="15.75" customHeight="1" s="19"/>
    <row r="514" ht="15.75" customHeight="1" s="19"/>
    <row r="515" ht="15.75" customHeight="1" s="19"/>
    <row r="516" ht="15.75" customHeight="1" s="19"/>
    <row r="517" ht="15.75" customHeight="1" s="19"/>
    <row r="518" ht="15.75" customHeight="1" s="19"/>
    <row r="519" ht="15.75" customHeight="1" s="19"/>
    <row r="520" ht="15.75" customHeight="1" s="19"/>
    <row r="521" ht="15.75" customHeight="1" s="19"/>
    <row r="522" ht="15.75" customHeight="1" s="19"/>
    <row r="523" ht="15.75" customHeight="1" s="19"/>
    <row r="524" ht="15.75" customHeight="1" s="19"/>
    <row r="525" ht="15.75" customHeight="1" s="19"/>
    <row r="526" ht="15.75" customHeight="1" s="19"/>
    <row r="527" ht="15.75" customHeight="1" s="19"/>
    <row r="528" ht="15.75" customHeight="1" s="19"/>
    <row r="529" ht="15.75" customHeight="1" s="19"/>
    <row r="530" ht="15.75" customHeight="1" s="19"/>
    <row r="531" ht="15.75" customHeight="1" s="19"/>
    <row r="532" ht="15.75" customHeight="1" s="19"/>
    <row r="533" ht="15.75" customHeight="1" s="19"/>
    <row r="534" ht="15.75" customHeight="1" s="19"/>
    <row r="535" ht="15.75" customHeight="1" s="19"/>
    <row r="536" ht="15.75" customHeight="1" s="19"/>
    <row r="537" ht="15.75" customHeight="1" s="19"/>
    <row r="538" ht="15.75" customHeight="1" s="19"/>
    <row r="539" ht="15.75" customHeight="1" s="19"/>
    <row r="540" ht="15.75" customHeight="1" s="19"/>
    <row r="541" ht="15.75" customHeight="1" s="19"/>
    <row r="542" ht="15.75" customHeight="1" s="19"/>
    <row r="543" ht="15.75" customHeight="1" s="19"/>
    <row r="544" ht="15.75" customHeight="1" s="19"/>
    <row r="545" ht="15.75" customHeight="1" s="19"/>
    <row r="546" ht="15.75" customHeight="1" s="19"/>
    <row r="547" ht="15.75" customHeight="1" s="19"/>
    <row r="548" ht="15.75" customHeight="1" s="19"/>
    <row r="549" ht="15.75" customHeight="1" s="19"/>
    <row r="550" ht="15.75" customHeight="1" s="19"/>
    <row r="551" ht="15.75" customHeight="1" s="19"/>
    <row r="552" ht="15.75" customHeight="1" s="19"/>
    <row r="553" ht="15.75" customHeight="1" s="19"/>
    <row r="554" ht="15.75" customHeight="1" s="19"/>
    <row r="555" ht="15.75" customHeight="1" s="19"/>
    <row r="556" ht="15.75" customHeight="1" s="19"/>
    <row r="557" ht="15.75" customHeight="1" s="19"/>
    <row r="558" ht="15.75" customHeight="1" s="19"/>
    <row r="559" ht="15.75" customHeight="1" s="19"/>
    <row r="560" ht="15.75" customHeight="1" s="19"/>
    <row r="561" ht="15.75" customHeight="1" s="19"/>
    <row r="562" ht="15.75" customHeight="1" s="19"/>
    <row r="563" ht="15.75" customHeight="1" s="19"/>
    <row r="564" ht="15.75" customHeight="1" s="19"/>
    <row r="565" ht="15.75" customHeight="1" s="19"/>
    <row r="566" ht="15.75" customHeight="1" s="19"/>
    <row r="567" ht="15.75" customHeight="1" s="19"/>
    <row r="568" ht="15.75" customHeight="1" s="19"/>
    <row r="569" ht="15.75" customHeight="1" s="19"/>
    <row r="570" ht="15.75" customHeight="1" s="19"/>
    <row r="571" ht="15.75" customHeight="1" s="19"/>
    <row r="572" ht="15.75" customHeight="1" s="19"/>
    <row r="573" ht="15.75" customHeight="1" s="19"/>
    <row r="574" ht="15.75" customHeight="1" s="19"/>
    <row r="575" ht="15.75" customHeight="1" s="19"/>
    <row r="576" ht="15.75" customHeight="1" s="19"/>
    <row r="577" ht="15.75" customHeight="1" s="19"/>
    <row r="578" ht="15.75" customHeight="1" s="19"/>
    <row r="579" ht="15.75" customHeight="1" s="19"/>
    <row r="580" ht="15.75" customHeight="1" s="19"/>
    <row r="581" ht="15.75" customHeight="1" s="19"/>
    <row r="582" ht="15.75" customHeight="1" s="19"/>
    <row r="583" ht="15.75" customHeight="1" s="19"/>
    <row r="584" ht="15.75" customHeight="1" s="19"/>
    <row r="585" ht="15.75" customHeight="1" s="19"/>
    <row r="586" ht="15.75" customHeight="1" s="19"/>
    <row r="587" ht="15.75" customHeight="1" s="19"/>
    <row r="588" ht="15.75" customHeight="1" s="19"/>
    <row r="589" ht="15.75" customHeight="1" s="19"/>
    <row r="590" ht="15.75" customHeight="1" s="19"/>
    <row r="591" ht="15.75" customHeight="1" s="19"/>
    <row r="592" ht="15.75" customHeight="1" s="19"/>
    <row r="593" ht="15.75" customHeight="1" s="19"/>
    <row r="594" ht="15.75" customHeight="1" s="19"/>
    <row r="595" ht="15.75" customHeight="1" s="19"/>
    <row r="596" ht="15.75" customHeight="1" s="19"/>
    <row r="597" ht="15.75" customHeight="1" s="19"/>
    <row r="598" ht="15.75" customHeight="1" s="19"/>
    <row r="599" ht="15.75" customHeight="1" s="19"/>
    <row r="600" ht="15.75" customHeight="1" s="19"/>
    <row r="601" ht="15.75" customHeight="1" s="19"/>
    <row r="602" ht="15.75" customHeight="1" s="19"/>
    <row r="603" ht="15.75" customHeight="1" s="19"/>
    <row r="604" ht="15.75" customHeight="1" s="19"/>
    <row r="605" ht="15.75" customHeight="1" s="19"/>
    <row r="606" ht="15.75" customHeight="1" s="19"/>
    <row r="607" ht="15.75" customHeight="1" s="19"/>
    <row r="608" ht="15.75" customHeight="1" s="19"/>
    <row r="609" ht="15.75" customHeight="1" s="19"/>
    <row r="610" ht="15.75" customHeight="1" s="19"/>
    <row r="611" ht="15.75" customHeight="1" s="19"/>
    <row r="612" ht="15.75" customHeight="1" s="19"/>
    <row r="613" ht="15.75" customHeight="1" s="19"/>
    <row r="614" ht="15.75" customHeight="1" s="19"/>
    <row r="615" ht="15.75" customHeight="1" s="19"/>
    <row r="616" ht="15.75" customHeight="1" s="19"/>
    <row r="617" ht="15.75" customHeight="1" s="19"/>
    <row r="618" ht="15.75" customHeight="1" s="19"/>
    <row r="619" ht="15.75" customHeight="1" s="19"/>
    <row r="620" ht="15.75" customHeight="1" s="19"/>
    <row r="621" ht="15.75" customHeight="1" s="19"/>
    <row r="622" ht="15.75" customHeight="1" s="19"/>
    <row r="623" ht="15.75" customHeight="1" s="19"/>
    <row r="624" ht="15.75" customHeight="1" s="19"/>
    <row r="625" ht="15.75" customHeight="1" s="19"/>
    <row r="626" ht="15.75" customHeight="1" s="19"/>
    <row r="627" ht="15.75" customHeight="1" s="19"/>
    <row r="628" ht="15.75" customHeight="1" s="19"/>
    <row r="629" ht="15.75" customHeight="1" s="19"/>
    <row r="630" ht="15.75" customHeight="1" s="19"/>
    <row r="631" ht="15.75" customHeight="1" s="19"/>
    <row r="632" ht="15.75" customHeight="1" s="19"/>
    <row r="633" ht="15.75" customHeight="1" s="19"/>
    <row r="634" ht="15.75" customHeight="1" s="19"/>
    <row r="635" ht="15.75" customHeight="1" s="19"/>
    <row r="636" ht="15.75" customHeight="1" s="19"/>
    <row r="637" ht="15.75" customHeight="1" s="19"/>
    <row r="638" ht="15.75" customHeight="1" s="19"/>
    <row r="639" ht="15.75" customHeight="1" s="19"/>
    <row r="640" ht="15.75" customHeight="1" s="19"/>
    <row r="641" ht="15.75" customHeight="1" s="19"/>
    <row r="642" ht="15.75" customHeight="1" s="19"/>
    <row r="643" ht="15.75" customHeight="1" s="19"/>
    <row r="644" ht="15.75" customHeight="1" s="19"/>
    <row r="645" ht="15.75" customHeight="1" s="19"/>
    <row r="646" ht="15.75" customHeight="1" s="19"/>
    <row r="647" ht="15.75" customHeight="1" s="19"/>
    <row r="648" ht="15.75" customHeight="1" s="19"/>
    <row r="649" ht="15.75" customHeight="1" s="19"/>
    <row r="650" ht="15.75" customHeight="1" s="19"/>
    <row r="651" ht="15.75" customHeight="1" s="19"/>
    <row r="652" ht="15.75" customHeight="1" s="19"/>
    <row r="653" ht="15.75" customHeight="1" s="19"/>
    <row r="654" ht="15.75" customHeight="1" s="19"/>
    <row r="655" ht="15.75" customHeight="1" s="19"/>
    <row r="656" ht="15.75" customHeight="1" s="19"/>
    <row r="657" ht="15.75" customHeight="1" s="19"/>
    <row r="658" ht="15.75" customHeight="1" s="19"/>
    <row r="659" ht="15.75" customHeight="1" s="19"/>
    <row r="660" ht="15.75" customHeight="1" s="19"/>
    <row r="661" ht="15.75" customHeight="1" s="19"/>
    <row r="662" ht="15.75" customHeight="1" s="19"/>
    <row r="663" ht="15.75" customHeight="1" s="19"/>
    <row r="664" ht="15.75" customHeight="1" s="19"/>
    <row r="665" ht="15.75" customHeight="1" s="19"/>
    <row r="666" ht="15.75" customHeight="1" s="19"/>
    <row r="667" ht="15.75" customHeight="1" s="19"/>
    <row r="668" ht="15.75" customHeight="1" s="19"/>
    <row r="669" ht="15.75" customHeight="1" s="19"/>
    <row r="670" ht="15.75" customHeight="1" s="19"/>
    <row r="671" ht="15.75" customHeight="1" s="19"/>
    <row r="672" ht="15.75" customHeight="1" s="19"/>
    <row r="673" ht="15.75" customHeight="1" s="19"/>
    <row r="674" ht="15.75" customHeight="1" s="19"/>
    <row r="675" ht="15.75" customHeight="1" s="19"/>
    <row r="676" ht="15.75" customHeight="1" s="19"/>
    <row r="677" ht="15.75" customHeight="1" s="19"/>
    <row r="678" ht="15.75" customHeight="1" s="19"/>
    <row r="679" ht="15.75" customHeight="1" s="19"/>
    <row r="680" ht="15.75" customHeight="1" s="19"/>
    <row r="681" ht="15.75" customHeight="1" s="19"/>
    <row r="682" ht="15.75" customHeight="1" s="19"/>
    <row r="683" ht="15.75" customHeight="1" s="19"/>
    <row r="684" ht="15.75" customHeight="1" s="19"/>
    <row r="685" ht="15.75" customHeight="1" s="19"/>
    <row r="686" ht="15.75" customHeight="1" s="19"/>
    <row r="687" ht="15.75" customHeight="1" s="19"/>
    <row r="688" ht="15.75" customHeight="1" s="19"/>
    <row r="689" ht="15.75" customHeight="1" s="19"/>
    <row r="690" ht="15.75" customHeight="1" s="19"/>
    <row r="691" ht="15.75" customHeight="1" s="19"/>
    <row r="692" ht="15.75" customHeight="1" s="19"/>
    <row r="693" ht="15.75" customHeight="1" s="19"/>
    <row r="694" ht="15.75" customHeight="1" s="19"/>
    <row r="695" ht="15.75" customHeight="1" s="19"/>
    <row r="696" ht="15.75" customHeight="1" s="19"/>
    <row r="697" ht="15.75" customHeight="1" s="19"/>
    <row r="698" ht="15.75" customHeight="1" s="19"/>
    <row r="699" ht="15.75" customHeight="1" s="19"/>
    <row r="700" ht="15.75" customHeight="1" s="19"/>
    <row r="701" ht="15.75" customHeight="1" s="19"/>
    <row r="702" ht="15.75" customHeight="1" s="19"/>
    <row r="703" ht="15.75" customHeight="1" s="19"/>
    <row r="704" ht="15.75" customHeight="1" s="19"/>
    <row r="705" ht="15.75" customHeight="1" s="19"/>
    <row r="706" ht="15.75" customHeight="1" s="19"/>
    <row r="707" ht="15.75" customHeight="1" s="19"/>
    <row r="708" ht="15.75" customHeight="1" s="19"/>
    <row r="709" ht="15.75" customHeight="1" s="19"/>
    <row r="710" ht="15.75" customHeight="1" s="19"/>
    <row r="711" ht="15.75" customHeight="1" s="19"/>
    <row r="712" ht="15.75" customHeight="1" s="19"/>
    <row r="713" ht="15.75" customHeight="1" s="19"/>
    <row r="714" ht="15.75" customHeight="1" s="19"/>
    <row r="715" ht="15.75" customHeight="1" s="19"/>
    <row r="716" ht="15.75" customHeight="1" s="19"/>
    <row r="717" ht="15.75" customHeight="1" s="19"/>
    <row r="718" ht="15.75" customHeight="1" s="19"/>
    <row r="719" ht="15.75" customHeight="1" s="19"/>
    <row r="720" ht="15.75" customHeight="1" s="19"/>
    <row r="721" ht="15.75" customHeight="1" s="19"/>
    <row r="722" ht="15.75" customHeight="1" s="19"/>
    <row r="723" ht="15.75" customHeight="1" s="19"/>
    <row r="724" ht="15.75" customHeight="1" s="19"/>
    <row r="725" ht="15.75" customHeight="1" s="19"/>
    <row r="726" ht="15.75" customHeight="1" s="19"/>
    <row r="727" ht="15.75" customHeight="1" s="19"/>
    <row r="728" ht="15.75" customHeight="1" s="19"/>
    <row r="729" ht="15.75" customHeight="1" s="19"/>
    <row r="730" ht="15.75" customHeight="1" s="19"/>
    <row r="731" ht="15.75" customHeight="1" s="19"/>
    <row r="732" ht="15.75" customHeight="1" s="19"/>
    <row r="733" ht="15.75" customHeight="1" s="19"/>
    <row r="734" ht="15.75" customHeight="1" s="19"/>
    <row r="735" ht="15.75" customHeight="1" s="19"/>
    <row r="736" ht="15.75" customHeight="1" s="19"/>
    <row r="737" ht="15.75" customHeight="1" s="19"/>
    <row r="738" ht="15.75" customHeight="1" s="19"/>
    <row r="739" ht="15.75" customHeight="1" s="19"/>
    <row r="740" ht="15.75" customHeight="1" s="19"/>
    <row r="741" ht="15.75" customHeight="1" s="19"/>
    <row r="742" ht="15.75" customHeight="1" s="19"/>
    <row r="743" ht="15.75" customHeight="1" s="19"/>
    <row r="744" ht="15.75" customHeight="1" s="19"/>
    <row r="745" ht="15.75" customHeight="1" s="19"/>
    <row r="746" ht="15.75" customHeight="1" s="19"/>
    <row r="747" ht="15.75" customHeight="1" s="19"/>
    <row r="748" ht="15.75" customHeight="1" s="19"/>
    <row r="749" ht="15.75" customHeight="1" s="19"/>
    <row r="750" ht="15.75" customHeight="1" s="19"/>
    <row r="751" ht="15.75" customHeight="1" s="19"/>
    <row r="752" ht="15.75" customHeight="1" s="19"/>
    <row r="753" ht="15.75" customHeight="1" s="19"/>
    <row r="754" ht="15.75" customHeight="1" s="19"/>
    <row r="755" ht="15.75" customHeight="1" s="19"/>
    <row r="756" ht="15.75" customHeight="1" s="19"/>
    <row r="757" ht="15.75" customHeight="1" s="19"/>
    <row r="758" ht="15.75" customHeight="1" s="19"/>
    <row r="759" ht="15.75" customHeight="1" s="19"/>
    <row r="760" ht="15.75" customHeight="1" s="19"/>
    <row r="761" ht="15.75" customHeight="1" s="19"/>
    <row r="762" ht="15.75" customHeight="1" s="19"/>
    <row r="763" ht="15.75" customHeight="1" s="19"/>
    <row r="764" ht="15.75" customHeight="1" s="19"/>
    <row r="765" ht="15.75" customHeight="1" s="19"/>
    <row r="766" ht="15.75" customHeight="1" s="19"/>
    <row r="767" ht="15.75" customHeight="1" s="19"/>
    <row r="768" ht="15.75" customHeight="1" s="19"/>
    <row r="769" ht="15.75" customHeight="1" s="19"/>
    <row r="770" ht="15.75" customHeight="1" s="19"/>
    <row r="771" ht="15.75" customHeight="1" s="19"/>
    <row r="772" ht="15.75" customHeight="1" s="19"/>
    <row r="773" ht="15.75" customHeight="1" s="19"/>
    <row r="774" ht="15.75" customHeight="1" s="19"/>
    <row r="775" ht="15.75" customHeight="1" s="19"/>
    <row r="776" ht="15.75" customHeight="1" s="19"/>
    <row r="777" ht="15.75" customHeight="1" s="19"/>
    <row r="778" ht="15.75" customHeight="1" s="19"/>
    <row r="779" ht="15.75" customHeight="1" s="19"/>
    <row r="780" ht="15.75" customHeight="1" s="19"/>
    <row r="781" ht="15.75" customHeight="1" s="19"/>
    <row r="782" ht="15.75" customHeight="1" s="19"/>
    <row r="783" ht="15.75" customHeight="1" s="19"/>
    <row r="784" ht="15.75" customHeight="1" s="19"/>
    <row r="785" ht="15.75" customHeight="1" s="19"/>
    <row r="786" ht="15.75" customHeight="1" s="19"/>
    <row r="787" ht="15.75" customHeight="1" s="19"/>
    <row r="788" ht="15.75" customHeight="1" s="19"/>
    <row r="789" ht="15.75" customHeight="1" s="19"/>
    <row r="790" ht="15.75" customHeight="1" s="19"/>
    <row r="791" ht="15.75" customHeight="1" s="19"/>
    <row r="792" ht="15.75" customHeight="1" s="19"/>
    <row r="793" ht="15.75" customHeight="1" s="19"/>
    <row r="794" ht="15.75" customHeight="1" s="19"/>
    <row r="795" ht="15.75" customHeight="1" s="19"/>
    <row r="796" ht="15.75" customHeight="1" s="19"/>
    <row r="797" ht="15.75" customHeight="1" s="19"/>
    <row r="798" ht="15.75" customHeight="1" s="19"/>
    <row r="799" ht="15.75" customHeight="1" s="19"/>
    <row r="800" ht="15.75" customHeight="1" s="19"/>
    <row r="801" ht="15.75" customHeight="1" s="19"/>
    <row r="802" ht="15.75" customHeight="1" s="19"/>
    <row r="803" ht="15.75" customHeight="1" s="19"/>
    <row r="804" ht="15.75" customHeight="1" s="19"/>
    <row r="805" ht="15.75" customHeight="1" s="19"/>
    <row r="806" ht="15.75" customHeight="1" s="19"/>
    <row r="807" ht="15.75" customHeight="1" s="19"/>
    <row r="808" ht="15.75" customHeight="1" s="19"/>
    <row r="809" ht="15.75" customHeight="1" s="19"/>
    <row r="810" ht="15.75" customHeight="1" s="19"/>
    <row r="811" ht="15.75" customHeight="1" s="19"/>
    <row r="812" ht="15.75" customHeight="1" s="19"/>
    <row r="813" ht="15.75" customHeight="1" s="19"/>
    <row r="814" ht="15.75" customHeight="1" s="19"/>
    <row r="815" ht="15.75" customHeight="1" s="19"/>
    <row r="816" ht="15.75" customHeight="1" s="19"/>
    <row r="817" ht="15.75" customHeight="1" s="19"/>
    <row r="818" ht="15.75" customHeight="1" s="19"/>
    <row r="819" ht="15.75" customHeight="1" s="19"/>
    <row r="820" ht="15.75" customHeight="1" s="19"/>
    <row r="821" ht="15.75" customHeight="1" s="19"/>
    <row r="822" ht="15.75" customHeight="1" s="19"/>
    <row r="823" ht="15.75" customHeight="1" s="19"/>
    <row r="824" ht="15.75" customHeight="1" s="19"/>
    <row r="825" ht="15.75" customHeight="1" s="19"/>
    <row r="826" ht="15.75" customHeight="1" s="19"/>
    <row r="827" ht="15.75" customHeight="1" s="19"/>
    <row r="828" ht="15.75" customHeight="1" s="19"/>
    <row r="829" ht="15.75" customHeight="1" s="19"/>
    <row r="830" ht="15.75" customHeight="1" s="19"/>
    <row r="831" ht="15.75" customHeight="1" s="19"/>
    <row r="832" ht="15.75" customHeight="1" s="19"/>
    <row r="833" ht="15.75" customHeight="1" s="19"/>
    <row r="834" ht="15.75" customHeight="1" s="19"/>
    <row r="835" ht="15.75" customHeight="1" s="19"/>
    <row r="836" ht="15.75" customHeight="1" s="19"/>
    <row r="837" ht="15.75" customHeight="1" s="19"/>
    <row r="838" ht="15.75" customHeight="1" s="19"/>
    <row r="839" ht="15.75" customHeight="1" s="19"/>
    <row r="840" ht="15.75" customHeight="1" s="19"/>
    <row r="841" ht="15.75" customHeight="1" s="19"/>
    <row r="842" ht="15.75" customHeight="1" s="19"/>
    <row r="843" ht="15.75" customHeight="1" s="19"/>
    <row r="844" ht="15.75" customHeight="1" s="19"/>
    <row r="845" ht="15.75" customHeight="1" s="19"/>
    <row r="846" ht="15.75" customHeight="1" s="19"/>
    <row r="847" ht="15.75" customHeight="1" s="19"/>
    <row r="848" ht="15.75" customHeight="1" s="19"/>
    <row r="849" ht="15.75" customHeight="1" s="19"/>
    <row r="850" ht="15.75" customHeight="1" s="19"/>
    <row r="851" ht="15.75" customHeight="1" s="19"/>
    <row r="852" ht="15.75" customHeight="1" s="19"/>
    <row r="853" ht="15.75" customHeight="1" s="19"/>
    <row r="854" ht="15.75" customHeight="1" s="19"/>
    <row r="855" ht="15.75" customHeight="1" s="19"/>
    <row r="856" ht="15.75" customHeight="1" s="19"/>
    <row r="857" ht="15.75" customHeight="1" s="19"/>
    <row r="858" ht="15.75" customHeight="1" s="19"/>
    <row r="859" ht="15.75" customHeight="1" s="19"/>
    <row r="860" ht="15.75" customHeight="1" s="19"/>
    <row r="861" ht="15.75" customHeight="1" s="19"/>
    <row r="862" ht="15.75" customHeight="1" s="19"/>
    <row r="863" ht="15.75" customHeight="1" s="19"/>
    <row r="864" ht="15.75" customHeight="1" s="19"/>
    <row r="865" ht="15.75" customHeight="1" s="19"/>
    <row r="866" ht="15.75" customHeight="1" s="19"/>
    <row r="867" ht="15.75" customHeight="1" s="19"/>
    <row r="868" ht="15.75" customHeight="1" s="19"/>
    <row r="869" ht="15.75" customHeight="1" s="19"/>
    <row r="870" ht="15.75" customHeight="1" s="19"/>
    <row r="871" ht="15.75" customHeight="1" s="19"/>
    <row r="872" ht="15.75" customHeight="1" s="19"/>
    <row r="873" ht="15.75" customHeight="1" s="19"/>
    <row r="874" ht="15.75" customHeight="1" s="19"/>
    <row r="875" ht="15.75" customHeight="1" s="19"/>
    <row r="876" ht="15.75" customHeight="1" s="19"/>
    <row r="877" ht="15.75" customHeight="1" s="19"/>
    <row r="878" ht="15.75" customHeight="1" s="19"/>
    <row r="879" ht="15.75" customHeight="1" s="19"/>
    <row r="880" ht="15.75" customHeight="1" s="19"/>
    <row r="881" ht="15.75" customHeight="1" s="19"/>
    <row r="882" ht="15.75" customHeight="1" s="19"/>
    <row r="883" ht="15.75" customHeight="1" s="19"/>
    <row r="884" ht="15.75" customHeight="1" s="19"/>
    <row r="885" ht="15.75" customHeight="1" s="19"/>
    <row r="886" ht="15.75" customHeight="1" s="19"/>
    <row r="887" ht="15.75" customHeight="1" s="19"/>
    <row r="888" ht="15.75" customHeight="1" s="19"/>
    <row r="889" ht="15.75" customHeight="1" s="19"/>
    <row r="890" ht="15.75" customHeight="1" s="19"/>
    <row r="891" ht="15.75" customHeight="1" s="19"/>
    <row r="892" ht="15.75" customHeight="1" s="19"/>
    <row r="893" ht="15.75" customHeight="1" s="19"/>
    <row r="894" ht="15.75" customHeight="1" s="19"/>
    <row r="895" ht="15.75" customHeight="1" s="19"/>
    <row r="896" ht="15.75" customHeight="1" s="19"/>
    <row r="897" ht="15.75" customHeight="1" s="19"/>
    <row r="898" ht="15.75" customHeight="1" s="19"/>
    <row r="899" ht="15.75" customHeight="1" s="19"/>
    <row r="900" ht="15.75" customHeight="1" s="19"/>
    <row r="901" ht="15.75" customHeight="1" s="19"/>
    <row r="902" ht="15.75" customHeight="1" s="19"/>
    <row r="903" ht="15.75" customHeight="1" s="19"/>
    <row r="904" ht="15.75" customHeight="1" s="19"/>
    <row r="905" ht="15.75" customHeight="1" s="19"/>
    <row r="906" ht="15.75" customHeight="1" s="19"/>
    <row r="907" ht="15.75" customHeight="1" s="19"/>
    <row r="908" ht="15.75" customHeight="1" s="19"/>
    <row r="909" ht="15.75" customHeight="1" s="19"/>
    <row r="910" ht="15.75" customHeight="1" s="19"/>
    <row r="911" ht="15.75" customHeight="1" s="19"/>
    <row r="912" ht="15.75" customHeight="1" s="19"/>
    <row r="913" ht="15.75" customHeight="1" s="19"/>
    <row r="914" ht="15.75" customHeight="1" s="19"/>
    <row r="915" ht="15.75" customHeight="1" s="19"/>
    <row r="916" ht="15.75" customHeight="1" s="19"/>
    <row r="917" ht="15.75" customHeight="1" s="19"/>
    <row r="918" ht="15.75" customHeight="1" s="19"/>
    <row r="919" ht="15.75" customHeight="1" s="19"/>
    <row r="920" ht="15.75" customHeight="1" s="19"/>
    <row r="921" ht="15.75" customHeight="1" s="19"/>
    <row r="922" ht="15.75" customHeight="1" s="19"/>
    <row r="923" ht="15.75" customHeight="1" s="19"/>
    <row r="924" ht="15.75" customHeight="1" s="19"/>
    <row r="925" ht="15.75" customHeight="1" s="19"/>
    <row r="926" ht="15.75" customHeight="1" s="19"/>
    <row r="927" ht="15.75" customHeight="1" s="19"/>
    <row r="928" ht="15.75" customHeight="1" s="19"/>
    <row r="929" ht="15.75" customHeight="1" s="19"/>
    <row r="930" ht="15.75" customHeight="1" s="19"/>
    <row r="931" ht="15.75" customHeight="1" s="19"/>
    <row r="932" ht="15.75" customHeight="1" s="19"/>
    <row r="933" ht="15.75" customHeight="1" s="19"/>
    <row r="934" ht="15.75" customHeight="1" s="19"/>
    <row r="935" ht="15.75" customHeight="1" s="19"/>
    <row r="936" ht="15.75" customHeight="1" s="19"/>
    <row r="937" ht="15.75" customHeight="1" s="19"/>
    <row r="938" ht="15.75" customHeight="1" s="19"/>
    <row r="939" ht="15.75" customHeight="1" s="19"/>
    <row r="940" ht="15.75" customHeight="1" s="19"/>
    <row r="941" ht="15.75" customHeight="1" s="19"/>
    <row r="942" ht="15.75" customHeight="1" s="19"/>
    <row r="943" ht="15.75" customHeight="1" s="19"/>
    <row r="944" ht="15.75" customHeight="1" s="19"/>
    <row r="945" ht="15.75" customHeight="1" s="19"/>
    <row r="946" ht="15.75" customHeight="1" s="19"/>
    <row r="947" ht="15.75" customHeight="1" s="19"/>
    <row r="948" ht="15.75" customHeight="1" s="19"/>
    <row r="949" ht="15.75" customHeight="1" s="19"/>
    <row r="950" ht="15.75" customHeight="1" s="19"/>
    <row r="951" ht="15.75" customHeight="1" s="19"/>
    <row r="952" ht="15.75" customHeight="1" s="19"/>
    <row r="953" ht="15.75" customHeight="1" s="19"/>
    <row r="954" ht="15.75" customHeight="1" s="19"/>
    <row r="955" ht="15.75" customHeight="1" s="19"/>
    <row r="956" ht="15.75" customHeight="1" s="19"/>
    <row r="957" ht="15.75" customHeight="1" s="19"/>
    <row r="958" ht="15.75" customHeight="1" s="19"/>
    <row r="959" ht="15.75" customHeight="1" s="19"/>
    <row r="960" ht="15.75" customHeight="1" s="19"/>
    <row r="961" ht="15.75" customHeight="1" s="19"/>
    <row r="962" ht="15.75" customHeight="1" s="19"/>
    <row r="963" ht="15.75" customHeight="1" s="19"/>
    <row r="964" ht="15.75" customHeight="1" s="19"/>
    <row r="965" ht="15.75" customHeight="1" s="19"/>
    <row r="966" ht="15.75" customHeight="1" s="19"/>
    <row r="967" ht="15.75" customHeight="1" s="19"/>
    <row r="968" ht="15.75" customHeight="1" s="19"/>
    <row r="969" ht="15.75" customHeight="1" s="19"/>
    <row r="970" ht="15.75" customHeight="1" s="19"/>
    <row r="971" ht="15.75" customHeight="1" s="19"/>
    <row r="972" ht="15.75" customHeight="1" s="19"/>
    <row r="973" ht="15.75" customHeight="1" s="19"/>
    <row r="974" ht="15.75" customHeight="1" s="19"/>
    <row r="975" ht="15.75" customHeight="1" s="19"/>
    <row r="976" ht="15.75" customHeight="1" s="19"/>
    <row r="977" ht="15.75" customHeight="1" s="19"/>
    <row r="978" ht="15.75" customHeight="1" s="19"/>
    <row r="979" ht="15.75" customHeight="1" s="19"/>
    <row r="980" ht="15.75" customHeight="1" s="19"/>
    <row r="981" ht="15.75" customHeight="1" s="19"/>
    <row r="982" ht="15.75" customHeight="1" s="19"/>
    <row r="983" ht="15.75" customHeight="1" s="19"/>
    <row r="984" ht="15.75" customHeight="1" s="19"/>
    <row r="985" ht="15.75" customHeight="1" s="19"/>
    <row r="986" ht="15.75" customHeight="1" s="19"/>
    <row r="987" ht="15.75" customHeight="1" s="19"/>
    <row r="988" ht="15.75" customHeight="1" s="19"/>
    <row r="989" ht="15.75" customHeight="1" s="19"/>
    <row r="990" ht="15.75" customHeight="1" s="19"/>
    <row r="991" ht="15.75" customHeight="1" s="19"/>
    <row r="992" ht="15.75" customHeight="1" s="19"/>
    <row r="993" ht="15.75" customHeight="1" s="19"/>
    <row r="994" ht="15.75" customHeight="1" s="19"/>
    <row r="995" ht="15.75" customHeight="1" s="19"/>
    <row r="996" ht="15.75" customHeight="1" s="19"/>
    <row r="997" ht="15.75" customHeight="1" s="19"/>
    <row r="998" ht="15.75" customHeight="1" s="19"/>
    <row r="999" ht="15.75" customHeight="1" s="19"/>
    <row r="1000" ht="15.75" customHeight="1" s="19"/>
  </sheetData>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P31"/>
  <sheetViews>
    <sheetView showGridLines="0" workbookViewId="0">
      <pane xSplit="5" ySplit="4" topLeftCell="F5" activePane="bottomRight" state="frozen"/>
      <selection pane="topRight" activeCell="F1" sqref="F1"/>
      <selection pane="bottomLeft" activeCell="A5" sqref="A5"/>
      <selection pane="bottomRight" activeCell="F5" sqref="F5"/>
    </sheetView>
  </sheetViews>
  <sheetFormatPr baseColWidth="8" defaultColWidth="14.43" defaultRowHeight="15" customHeight="1"/>
  <cols>
    <col width="8" customWidth="1" style="19" min="1" max="1"/>
    <col width="25" customWidth="1" style="19" min="2" max="2"/>
    <col width="45" customWidth="1" style="19" min="3" max="3"/>
    <col width="35" customWidth="1" style="19" min="4" max="5"/>
    <col width="12" customWidth="1" style="19" min="6" max="6"/>
    <col width="14" customWidth="1" style="19" min="7" max="7"/>
    <col width="12" customWidth="1" style="19" min="8" max="8"/>
    <col width="14" customWidth="1" style="19" min="9" max="9"/>
    <col width="12" customWidth="1" style="19" min="10" max="10"/>
    <col width="14" customWidth="1" style="19" min="11" max="11"/>
    <col width="15" customWidth="1" style="19" min="12" max="12"/>
    <col width="22" customWidth="1" style="19" min="13" max="13"/>
    <col width="15" customWidth="1" style="19" min="14" max="14"/>
    <col width="45" customWidth="1" style="19" min="15" max="15"/>
    <col width="35" customWidth="1" style="19" min="16" max="16"/>
    <col width="8.710000000000001" customWidth="1" style="19" min="17" max="26"/>
  </cols>
  <sheetData>
    <row r="1">
      <c r="A1" s="1" t="inlineStr">
        <is>
          <t>Digital SAT Practice Test - October 2026: Reading &amp; Writing Module 2</t>
        </is>
      </c>
    </row>
    <row r="2">
      <c r="A2" s="2" t="inlineStr">
        <is>
          <t>Chiến thuật: Tự thử sức ở Lần 1 (Cột F) -&gt; Nhận phản hồi tự động &amp; Gợi ý định hướng logic mà không làm lộ đáp án.</t>
        </is>
      </c>
    </row>
    <row r="3"/>
    <row r="4" ht="27.75" customHeight="1" s="19">
      <c r="A4" s="3" t="inlineStr">
        <is>
          <t>Q#</t>
        </is>
      </c>
      <c r="B4" s="3" t="inlineStr">
        <is>
          <t>Topic / Skill Focus</t>
        </is>
      </c>
      <c r="C4" s="3" t="inlineStr">
        <is>
          <t>Passage &amp; Context</t>
        </is>
      </c>
      <c r="D4" s="3" t="inlineStr">
        <is>
          <t>Question Prompt / Calculator</t>
        </is>
      </c>
      <c r="E4" s="3" t="inlineStr">
        <is>
          <t>Options / Choices (No Answer)</t>
        </is>
      </c>
      <c r="F4" s="3" t="inlineStr">
        <is>
          <t>Lần thử 1</t>
        </is>
      </c>
      <c r="G4" s="3" t="inlineStr">
        <is>
          <t>Kết quả L1</t>
        </is>
      </c>
      <c r="H4" s="3" t="inlineStr">
        <is>
          <t>Lần thử 2</t>
        </is>
      </c>
      <c r="I4" s="3" t="inlineStr">
        <is>
          <t>Kết quả L2</t>
        </is>
      </c>
      <c r="J4" s="3" t="inlineStr">
        <is>
          <t>Lần thử 3</t>
        </is>
      </c>
      <c r="K4" s="3" t="inlineStr">
        <is>
          <t>Kết quả L3</t>
        </is>
      </c>
      <c r="L4" s="3" t="inlineStr">
        <is>
          <t>Tổng số cột Sai</t>
        </is>
      </c>
      <c r="M4" s="3" t="inlineStr">
        <is>
          <t>Trạng thái Hoàn thành</t>
        </is>
      </c>
      <c r="N4" s="3" t="inlineStr">
        <is>
          <t>Hiệu suất (%)</t>
        </is>
      </c>
      <c r="O4" s="3" t="inlineStr">
        <is>
          <t>Hint / Gợi ý Đa tầng (Không đáp án)</t>
        </is>
      </c>
      <c r="P4" s="3" t="inlineStr">
        <is>
          <t>Strategic Tip / Formula</t>
        </is>
      </c>
    </row>
    <row r="5">
      <c r="A5" s="7" t="inlineStr">
        <is>
          <t>Q1</t>
        </is>
      </c>
      <c r="B5" s="5" t="inlineStr">
        <is>
          <t>Vocabulary in Context (Interplay)</t>
        </is>
      </c>
      <c r="C5" s="5" t="inlineStr">
        <is>
          <t>Weather patterns, market trends, input costs, labor availability, equipment maintenance, and biological cycles are all variables that farmers must consider separately and in terms of how they may affect each other, and it is this ______ of factors in particular that makes successful farm management so challenging.</t>
        </is>
      </c>
      <c r="D5" s="5" t="inlineStr">
        <is>
          <t>Which choice completes the text with the most logical and precise word or phrase?</t>
        </is>
      </c>
      <c r="E5" s="5" t="inlineStr">
        <is>
          <t>A. Lựa chọn A
B. Lựa chọn B
C. Lựa chọn C
D. Lựa chọn D</t>
        </is>
      </c>
      <c r="F5" s="14" t="n"/>
      <c r="G5" s="7">
        <f>IF(ISBLANK(F5), "⏳ Chờ đáp án", IF(UPPER(TRIM(F5))="D", "✅ Đúng", "❌ Sai"))</f>
        <v/>
      </c>
      <c r="H5" s="14" t="n"/>
      <c r="I5" s="7">
        <f>IF(ISBLANK(H5), "", IF(UPPER(TRIM(H5))="D", "✅ Đúng", "❌ Sai"))</f>
        <v/>
      </c>
      <c r="J5" s="14" t="n"/>
      <c r="K5" s="7">
        <f>IF(ISBLANK(J5), "", IF(UPPER(TRIM(J5))="D", "✅ Đúng", "❌ Sai"))</f>
        <v/>
      </c>
      <c r="L5" s="7">
        <f>COUNTIF(G5, "❌ Sai") + COUNTIF(I5, "❌ Sai") + COUNTIF(K5, "❌ Sai")</f>
        <v/>
      </c>
      <c r="M5" s="7">
        <f>IF(ISBLANK(F5), "⏳ Chờ làm", IF(G5="✅ Đúng", "✅ Đúng ngay L1", IF(I5="✅ Đúng", "✅ Đúng ở L2", IF(K5="✅ Đúng", "✅ Đúng ở L3", "❌ Chưa đúng sau 3 lần"))))</f>
        <v/>
      </c>
      <c r="N5" s="13">
        <f>IF(G5="✅ Đúng", 1, IF(I5="✅ Đúng", 0.667, IF(K5="✅ Đúng", 0.333, 0)))</f>
        <v/>
      </c>
      <c r="O5" s="5">
        <f>IF(ISBLANK(F5), "💡 Nhập đáp án vào Lần thử 1", IF(OR(G5="✅ Đúng", I5="✅ Đúng", K5="✅ Đúng"), "✨ Xuất sắc! Bạn đã làm đúng.", IF(NOT(ISBLANK(J5)), "💡 Gợi ý Tầng 3 (Chốt phương pháp): " &amp; "Loại các từ chỉ sự tách biệt hay xung đột; chọn từ thể hiện mối quan hệ tương tác.", IF(NOT(ISBLANK(H5)), "💡 Gợi ý Tầng 2 (Manh mối cấu trúc &amp; Loại trừ): " &amp; "Cần một danh từ miêu tả sự tương tác hoặc ảnh hưởng lẫn nhau giữa các thành phần.", "💡 Gợi ý Tầng 1 (Định hướng bối cảnh): " &amp; "Xem xét sự tác động qua lại giữa hai yếu tố sinh học/môi trường được đề cập."))))</f>
        <v/>
      </c>
      <c r="P5" s="5">
        <f>IF(OR(G5="✅ Đúng", I5="✅ Đúng", K5="✅ Đúng"), "Interplay = the way in which two or more things have an effect on each other.", "🔒 Trả lời đúng để mở khóa Strategic Tip!")</f>
        <v/>
      </c>
    </row>
    <row r="6">
      <c r="A6" s="7" t="inlineStr">
        <is>
          <t>Q2</t>
        </is>
      </c>
      <c r="B6" s="5" t="inlineStr">
        <is>
          <t>Vocabulary in Context (Efficiency &amp; Output)</t>
        </is>
      </c>
      <c r="C6" s="5" t="inlineStr">
        <is>
          <t>To maximize ______, package distribution centers employ advanced scheduling systems and strategic staging areas that allow for goods received from warehouses to be immediately transferred to trucks for delivery to their final destinations. Some centers are so efficient that even the largest delivery trucks can be filled in a matter of minutes.</t>
        </is>
      </c>
      <c r="D6" s="5" t="inlineStr">
        <is>
          <t>Which choice completes the text with the most logical and precise word or phrase?</t>
        </is>
      </c>
      <c r="E6" s="5" t="inlineStr">
        <is>
          <t>A. Lựa chọn A
B. Lựa chọn B
C. Lựa chọn C
D. Lựa chọn D</t>
        </is>
      </c>
      <c r="F6" s="14" t="n"/>
      <c r="G6" s="7">
        <f>IF(ISBLANK(F6), "⏳ Chờ đáp án", IF(UPPER(TRIM(F6))="A", "✅ Đúng", "❌ Sai"))</f>
        <v/>
      </c>
      <c r="H6" s="14" t="n"/>
      <c r="I6" s="7">
        <f>IF(ISBLANK(H6), "", IF(UPPER(TRIM(H6))="A", "✅ Đúng", "❌ Sai"))</f>
        <v/>
      </c>
      <c r="J6" s="14" t="n"/>
      <c r="K6" s="7">
        <f>IF(ISBLANK(J6), "", IF(UPPER(TRIM(J6))="A", "✅ Đúng", "❌ Sai"))</f>
        <v/>
      </c>
      <c r="L6" s="7">
        <f>COUNTIF(G6, "❌ Sai") + COUNTIF(I6, "❌ Sai") + COUNTIF(K6, "❌ Sai")</f>
        <v/>
      </c>
      <c r="M6" s="7">
        <f>IF(ISBLANK(F6), "⏳ Chờ làm", IF(G6="✅ Đúng", "✅ Đúng ngay L1", IF(I6="✅ Đúng", "✅ Đúng ở L2", IF(K6="✅ Đúng", "✅ Đúng ở L3", "❌ Chưa đúng sau 3 lần"))))</f>
        <v/>
      </c>
      <c r="N6" s="13">
        <f>IF(G6="✅ Đúng", 1, IF(I6="✅ Đúng", 0.667, IF(K6="✅ Đúng", 0.333, 0)))</f>
        <v/>
      </c>
      <c r="O6" s="5">
        <f>IF(ISBLANK(F6), "💡 Nhập đáp án vào Lần thử 1", IF(OR(G6="✅ Đúng", I6="✅ Đúng", K6="✅ Đúng"), "✨ Xuất sắc! Bạn đã làm đúng.", IF(NOT(ISBLANK(J6)), "💡 Gợi ý Tầng 3 (Chốt phương pháp): " &amp; "Loại bỏ từ chỉ khoảng cách hay chi phí; chọn từ miêu tả lưu lượng/năng suất thông qua.", IF(NOT(ISBLANK(H6)), "💡 Gợi ý Tầng 2 (Manh mối cấu trúc &amp; Loại trừ): " &amp; "Cần một danh từ chỉ khối lượng hoặc năng suất hàng hóa được xử lý trong một đơn vị thời gian.", "💡 Gợi ý Tầng 1 (Định hướng bối cảnh): " &amp; "Chú ý bối cảnh vận chuyển và xử lý hàng hóa qua hệ thống cảng/tuyến đường."))))</f>
        <v/>
      </c>
      <c r="P6" s="5">
        <f>IF(OR(G6="✅ Đúng", I6="✅ Đúng", K6="✅ Đúng"), "Throughput = the amount of material or items passing through a system or process.", "🔒 Trả lời đúng để mở khóa Strategic Tip!")</f>
        <v/>
      </c>
    </row>
    <row r="7">
      <c r="A7" s="7" t="inlineStr">
        <is>
          <t>Q3</t>
        </is>
      </c>
      <c r="B7" s="5" t="inlineStr">
        <is>
          <t>Vocabulary in Context (Parameters)</t>
        </is>
      </c>
      <c r="C7" s="5" t="inlineStr">
        <is>
          <t>Researchers have developed algorithms that take into account how various ______ influence production schedules, allowing rapid solution generation for manufacturing planning problems. The algorithms help identify efficient production schedules by processing those quantifiable inputs (e.g., demand patterns and capacity constraints) without exhaustively testing all possible scenarios.</t>
        </is>
      </c>
      <c r="D7" s="5" t="inlineStr">
        <is>
          <t>Which choice completes the text with the most logical and precise word or phrase?</t>
        </is>
      </c>
      <c r="E7" s="5" t="inlineStr">
        <is>
          <t>A. Lựa chọn A
B. Lựa chọn B
C. Lựa chọn C
D. Lựa chọn D</t>
        </is>
      </c>
      <c r="F7" s="14" t="n"/>
      <c r="G7" s="7">
        <f>IF(ISBLANK(F7), "⏳ Chờ đáp án", IF(UPPER(TRIM(F7))="C", "✅ Đúng", "❌ Sai"))</f>
        <v/>
      </c>
      <c r="H7" s="14" t="n"/>
      <c r="I7" s="7">
        <f>IF(ISBLANK(H7), "", IF(UPPER(TRIM(H7))="C", "✅ Đúng", "❌ Sai"))</f>
        <v/>
      </c>
      <c r="J7" s="14" t="n"/>
      <c r="K7" s="7">
        <f>IF(ISBLANK(J7), "", IF(UPPER(TRIM(J7))="C", "✅ Đúng", "❌ Sai"))</f>
        <v/>
      </c>
      <c r="L7" s="7">
        <f>COUNTIF(G7, "❌ Sai") + COUNTIF(I7, "❌ Sai") + COUNTIF(K7, "❌ Sai")</f>
        <v/>
      </c>
      <c r="M7" s="7">
        <f>IF(ISBLANK(F7), "⏳ Chờ làm", IF(G7="✅ Đúng", "✅ Đúng ngay L1", IF(I7="✅ Đúng", "✅ Đúng ở L2", IF(K7="✅ Đúng", "✅ Đúng ở L3", "❌ Chưa đúng sau 3 lần"))))</f>
        <v/>
      </c>
      <c r="N7" s="13">
        <f>IF(G7="✅ Đúng", 1, IF(I7="✅ Đúng", 0.667, IF(K7="✅ Đúng", 0.333, 0)))</f>
        <v/>
      </c>
      <c r="O7" s="5">
        <f>IF(ISBLANK(F7), "💡 Nhập đáp án vào Lần thử 1", IF(OR(G7="✅ Đúng", I7="✅ Đúng", K7="✅ Đúng"), "✨ Xuất sắc! Bạn đã làm đúng.", IF(NOT(ISBLANK(J7)), "💡 Gợi ý Tầng 3 (Chốt phương pháp): " &amp; "Chọn từ chỉ các giới hạn/thông số định lượng; loại từ chỉ cảm xúc hay lý thuyết mơ hồ.", IF(NOT(ISBLANK(H7)), "💡 Gợi ý Tầng 2 (Manh mối cấu trúc &amp; Loại trừ): " &amp; "Các yếu tố này được đo lường bằng số liệu cụ thể chứ không phải nhận định cảm quan.", "💡 Gợi ý Tầng 1 (Định hướng bối cảnh): " &amp; "Xác định bản chất của các yếu tố đầu vào được sử dụng trong mô hình nghiên cứu."))))</f>
        <v/>
      </c>
      <c r="P7" s="5">
        <f>IF(OR(G7="✅ Đúng", I7="✅ Đúng", K7="✅ Đúng"), "Parameters = numerical or other measurable factors forming sets that define a system.", "🔒 Trả lời đúng để mở khóa Strategic Tip!")</f>
        <v/>
      </c>
    </row>
    <row r="8">
      <c r="A8" s="7" t="inlineStr">
        <is>
          <t>Q4</t>
        </is>
      </c>
      <c r="B8" s="5" t="inlineStr">
        <is>
          <t>Vocabulary in Context (Cautions &amp; Warnings)</t>
        </is>
      </c>
      <c r="C8" s="5" t="inlineStr">
        <is>
          <t>Marvel Girl’s ability to lift modest loads with her mind is illustrative of the lamentably lackluster powers bestowed on many female superheroes, but even those with more formidable powers have been subject to unflattering portrayals that often serve as ______: as the Phoenix, Jean Grey loses control of a cosmic force and destroys an entire planet, showing the corrupting influence of power.</t>
        </is>
      </c>
      <c r="D8" s="5" t="inlineStr">
        <is>
          <t>Which choice completes the text with the most logical and precise word or phrase?</t>
        </is>
      </c>
      <c r="E8" s="5" t="inlineStr">
        <is>
          <t>A. Lựa chọn A
B. Lựa chọn B
C. Lựa chọn C
D. Lựa chọn D</t>
        </is>
      </c>
      <c r="F8" s="14" t="n"/>
      <c r="G8" s="7">
        <f>IF(ISBLANK(F8), "⏳ Chờ đáp án", IF(UPPER(TRIM(F8))="B", "✅ Đúng", "❌ Sai"))</f>
        <v/>
      </c>
      <c r="H8" s="14" t="n"/>
      <c r="I8" s="7">
        <f>IF(ISBLANK(H8), "", IF(UPPER(TRIM(H8))="B", "✅ Đúng", "❌ Sai"))</f>
        <v/>
      </c>
      <c r="J8" s="14" t="n"/>
      <c r="K8" s="7">
        <f>IF(ISBLANK(J8), "", IF(UPPER(TRIM(J8))="B", "✅ Đúng", "❌ Sai"))</f>
        <v/>
      </c>
      <c r="L8" s="7">
        <f>COUNTIF(G8, "❌ Sai") + COUNTIF(I8, "❌ Sai") + COUNTIF(K8, "❌ Sai")</f>
        <v/>
      </c>
      <c r="M8" s="7">
        <f>IF(ISBLANK(F8), "⏳ Chờ làm", IF(G8="✅ Đúng", "✅ Đúng ngay L1", IF(I8="✅ Đúng", "✅ Đúng ở L2", IF(K8="✅ Đúng", "✅ Đúng ở L3", "❌ Chưa đúng sau 3 lần"))))</f>
        <v/>
      </c>
      <c r="N8" s="13">
        <f>IF(G8="✅ Đúng", 1, IF(I8="✅ Đúng", 0.667, IF(K8="✅ Đúng", 0.333, 0)))</f>
        <v/>
      </c>
      <c r="O8" s="5">
        <f>IF(ISBLANK(F8), "💡 Nhập đáp án vào Lần thử 1", IF(OR(G8="✅ Đúng", I8="✅ Đúng", K8="✅ Đúng"), "✨ Xuất sắc! Bạn đã làm đúng.", IF(NOT(ISBLANK(J8)), "💡 Gợi ý Tầng 3 (Chốt phương pháp): " &amp; "Chọn từ thể hiện sự thận trọng/cảnh báo; loại các từ mang nghĩa khen ngợi hay khuyến khích.", IF(NOT(ISBLANK(H8)), "💡 Gợi ý Tầng 2 (Manh mối cấu trúc &amp; Loại trừ): " &amp; "Cần một danh từ mang nghĩa lời cảnh báo, nhắc nhở hoặc lưu ý trước rủi ro.", "💡 Gợi ý Tầng 1 (Định hướng bối cảnh): " &amp; "Đọc kỹ sắc thái câu văn khi bàn về sự nguy hiểm hoặc hậu quả của việc lạm dụng quyền lực."))))</f>
        <v/>
      </c>
      <c r="P8" s="5">
        <f>IF(OR(G8="✅ Đúng", I8="✅ Đúng", K8="✅ Đúng"), "Admonitions = firm warnings or reprimands.", "🔒 Trả lời đúng để mở khóa Strategic Tip!")</f>
        <v/>
      </c>
    </row>
    <row r="9">
      <c r="A9" s="7" t="inlineStr">
        <is>
          <t>Q5</t>
        </is>
      </c>
      <c r="B9" s="5" t="inlineStr">
        <is>
          <t>Sentence Function &amp; Text Structure</t>
        </is>
      </c>
      <c r="C9" s="5" t="inlineStr">
        <is>
          <t>Research on minor solar eruptions in magnetically quiet regions revealed an interesting pattern. Material expelled during these events follows a narrow arc trajectory back to the Sun’s surface. High-resolution images show these eruptions produce thin streams of hot gas moving at speeds between 55 and 200 kilometers per second. Although these are impressive speeds, they are not sufficient to overcome the confining forces of the Sun’s gravity and magnetic field, so the material is pulled back down.</t>
        </is>
      </c>
      <c r="D9" s="5" t="inlineStr">
        <is>
          <t>Which choice best describes the function of the underlined sentence in the text as a whole?</t>
        </is>
      </c>
      <c r="E9" s="5" t="inlineStr">
        <is>
          <t>A. Lựa chọn A
B. Lựa chọn B
C. Lựa chọn C
D. Lựa chọn D</t>
        </is>
      </c>
      <c r="F9" s="14" t="n"/>
      <c r="G9" s="7">
        <f>IF(ISBLANK(F9), "⏳ Chờ đáp án", IF(UPPER(TRIM(F9))="A", "✅ Đúng", "❌ Sai"))</f>
        <v/>
      </c>
      <c r="H9" s="14" t="n"/>
      <c r="I9" s="7">
        <f>IF(ISBLANK(H9), "", IF(UPPER(TRIM(H9))="A", "✅ Đúng", "❌ Sai"))</f>
        <v/>
      </c>
      <c r="J9" s="14" t="n"/>
      <c r="K9" s="7">
        <f>IF(ISBLANK(J9), "", IF(UPPER(TRIM(J9))="A", "✅ Đúng", "❌ Sai"))</f>
        <v/>
      </c>
      <c r="L9" s="7">
        <f>COUNTIF(G9, "❌ Sai") + COUNTIF(I9, "❌ Sai") + COUNTIF(K9, "❌ Sai")</f>
        <v/>
      </c>
      <c r="M9" s="7">
        <f>IF(ISBLANK(F9), "⏳ Chờ làm", IF(G9="✅ Đúng", "✅ Đúng ngay L1", IF(I9="✅ Đúng", "✅ Đúng ở L2", IF(K9="✅ Đúng", "✅ Đúng ở L3", "❌ Chưa đúng sau 3 lần"))))</f>
        <v/>
      </c>
      <c r="N9" s="13">
        <f>IF(G9="✅ Đúng", 1, IF(I9="✅ Đúng", 0.667, IF(K9="✅ Đúng", 0.333, 0)))</f>
        <v/>
      </c>
      <c r="O9" s="5">
        <f>IF(ISBLANK(F9), "💡 Nhập đáp án vào Lần thử 1", IF(OR(G9="✅ Đúng", I9="✅ Đúng", K9="✅ Đúng"), "✨ Xuất sắc! Bạn đã làm đúng.", IF(NOT(ISBLANK(J9)), "💡 Gợi ý Tầng 3 (Chốt phương pháp): " &amp; "Chọn đáp án miêu tả đúng vai trò liên kết logic giữa các phần của đoạn văn.", IF(NOT(ISBLANK(H9)), "💡 Gợi ý Tầng 2 (Manh mối cấu trúc &amp; Loại trừ): " &amp; "Phân tích xem câu gạch chân cung cấp bằng chứng, đặt ra giả thuyết hay đưa ra phản biện.", "💡 Gợi ý Tầng 1 (Định hướng bối cảnh): " &amp; "Xác định chức năng của câu gạch chân đối với lập luận toàn bài."))))</f>
        <v/>
      </c>
      <c r="P9" s="5">
        <f>IF(OR(G9="✅ Đúng", I9="✅ Đúng", K9="✅ Đúng"), "Xác định vai trò tu từ: Trình bày hiện tượng dẫn tới kết quả theo sau.", "🔒 Trả lời đúng để mở khóa Strategic Tip!")</f>
        <v/>
      </c>
    </row>
    <row r="10">
      <c r="A10" s="7" t="inlineStr">
        <is>
          <t>Q6</t>
        </is>
      </c>
      <c r="B10" s="5" t="inlineStr">
        <is>
          <t>Text Structure &amp; Overall Purpose</t>
        </is>
      </c>
      <c r="C10" s="5" t="inlineStr">
        <is>
          <t>With examples ranging from Dean’s Blue Hole in the Bahamas to Watling’s Blue Hole near San Salvador Island, blue holes are large underwater sinkholes: pits filled with dark blue water that contrasts with lighter blue shallower waters surrounding them. The formation of blue holes typically involves several natural processes, including the dissolution of limestone or other carbonate rocks. Currently, the deepest blue hole on record is the Taam Ja’ Blue Hole in Chetumal Bay, Mexico, which is reported by Laura Carrillo and colleagues as extending at least 420 meters below sea level.</t>
        </is>
      </c>
      <c r="D10" s="5" t="inlineStr">
        <is>
          <t>Which choice best describes the overall structure of the text?</t>
        </is>
      </c>
      <c r="E10" s="5" t="inlineStr">
        <is>
          <t>A. Lựa chọn A
B. Lựa chọn B
C. Lựa chọn C
D. Lựa chọn D</t>
        </is>
      </c>
      <c r="F10" s="14" t="n"/>
      <c r="G10" s="7">
        <f>IF(ISBLANK(F10), "⏳ Chờ đáp án", IF(UPPER(TRIM(F10))="D", "✅ Đúng", "❌ Sai"))</f>
        <v/>
      </c>
      <c r="H10" s="14" t="n"/>
      <c r="I10" s="7">
        <f>IF(ISBLANK(H10), "", IF(UPPER(TRIM(H10))="D", "✅ Đúng", "❌ Sai"))</f>
        <v/>
      </c>
      <c r="J10" s="14" t="n"/>
      <c r="K10" s="7">
        <f>IF(ISBLANK(J10), "", IF(UPPER(TRIM(J10))="D", "✅ Đúng", "❌ Sai"))</f>
        <v/>
      </c>
      <c r="L10" s="7">
        <f>COUNTIF(G10, "❌ Sai") + COUNTIF(I10, "❌ Sai") + COUNTIF(K10, "❌ Sai")</f>
        <v/>
      </c>
      <c r="M10" s="7">
        <f>IF(ISBLANK(F10), "⏳ Chờ làm", IF(G10="✅ Đúng", "✅ Đúng ngay L1", IF(I10="✅ Đúng", "✅ Đúng ở L2", IF(K10="✅ Đúng", "✅ Đúng ở L3", "❌ Chưa đúng sau 3 lần"))))</f>
        <v/>
      </c>
      <c r="N10" s="13">
        <f>IF(G10="✅ Đúng", 1, IF(I10="✅ Đúng", 0.667, IF(K10="✅ Đúng", 0.333, 0)))</f>
        <v/>
      </c>
      <c r="O10" s="5">
        <f>IF(ISBLANK(F10), "💡 Nhập đáp án vào Lần thử 1", IF(OR(G10="✅ Đúng", I10="✅ Đúng", K10="✅ Đúng"), "✨ Xuất sắc! Bạn đã làm đúng.", IF(NOT(ISBLANK(J10)), "💡 Gợi ý Tầng 3 (Chốt phương pháp): " &amp; "Mục đích chính là trình bày một phát hiện mới làm thay đổi hiểu biết trước đây.", IF(NOT(ISBLANK(H10)), "💡 Gợi ý Tầng 2 (Manh mối cấu trúc &amp; Loại trừ): " &amp; "Chú ý sự chuyển ý giữa quan điểm phổ biến và phát hiện mới của nghiên cứu.", "💡 Gợi ý Tầng 1 (Định hướng bối cảnh): " &amp; "Phân tích bố cục bài đọc từ việc nêu hiện tượng đến việc đưa ra lời giải thích."))))</f>
        <v/>
      </c>
      <c r="P10" s="5">
        <f>IF(OR(G10="✅ Đúng", I10="✅ Đúng", K10="✅ Đúng"), "Mô hình cấu trúc: Define -&gt; Describe Formation -&gt; Provide Specific Landmark Example.", "🔒 Trả lời đúng để mở khóa Strategic Tip!")</f>
        <v/>
      </c>
    </row>
    <row r="11">
      <c r="A11" s="7" t="inlineStr">
        <is>
          <t>Q7</t>
        </is>
      </c>
      <c r="B11" s="5" t="inlineStr">
        <is>
          <t>Cross-Text Comparison (Paired Passages)</t>
        </is>
      </c>
      <c r="C11" s="5" t="inlineStr">
        <is>
          <t>Text 1 is from George Eliot’s 1860 novel The Mill on the Floss. Text 2 is from Rabindranath Tagore’s 1921
nonfiction book Glimpses of Bengal.
Text 1
The wood I walk in on this mild May day, with the young yellow-brown foliage of the oaks between me and the blue sky, the white star-flowers and the blue-eyed speedwell and the ground ivy at my feet, what grove of tropic palms, what strange ferns or splendid broad-petalled blossoms, could ever thrill such deep and delicate fibres within me as this home scene?
Text 2
My feelings seem to be those of our ancient earth in the daily ecstasy of its sun-kissed life; my own consciousness seems to stream through each blade of grass, each sucking root, to rise with the sap through the trees, to break out with joyous thrills in the waving fields of corn, in the rustling palm leaves.</t>
        </is>
      </c>
      <c r="D11" s="5" t="inlineStr">
        <is>
          <t>Which choice best describes a notable difference in how the references to palm trees function in Text 1 and Text 2?</t>
        </is>
      </c>
      <c r="E11" s="5" t="inlineStr">
        <is>
          <t>A. Lựa chọn A
B. Lựa chọn B
C. Lựa chọn C
D. Lựa chọn D</t>
        </is>
      </c>
      <c r="F11" s="14" t="n"/>
      <c r="G11" s="7">
        <f>IF(ISBLANK(F11), "⏳ Chờ đáp án", IF(UPPER(TRIM(F11))="D", "✅ Đúng", "❌ Sai"))</f>
        <v/>
      </c>
      <c r="H11" s="14" t="n"/>
      <c r="I11" s="7">
        <f>IF(ISBLANK(H11), "", IF(UPPER(TRIM(H11))="D", "✅ Đúng", "❌ Sai"))</f>
        <v/>
      </c>
      <c r="J11" s="14" t="n"/>
      <c r="K11" s="7">
        <f>IF(ISBLANK(J11), "", IF(UPPER(TRIM(J11))="D", "✅ Đúng", "❌ Sai"))</f>
        <v/>
      </c>
      <c r="L11" s="7">
        <f>COUNTIF(G11, "❌ Sai") + COUNTIF(I11, "❌ Sai") + COUNTIF(K11, "❌ Sai")</f>
        <v/>
      </c>
      <c r="M11" s="7">
        <f>IF(ISBLANK(F11), "⏳ Chờ làm", IF(G11="✅ Đúng", "✅ Đúng ngay L1", IF(I11="✅ Đúng", "✅ Đúng ở L2", IF(K11="✅ Đúng", "✅ Đúng ở L3", "❌ Chưa đúng sau 3 lần"))))</f>
        <v/>
      </c>
      <c r="N11" s="13">
        <f>IF(G11="✅ Đúng", 1, IF(I11="✅ Đúng", 0.667, IF(K11="✅ Đúng", 0.333, 0)))</f>
        <v/>
      </c>
      <c r="O11" s="5">
        <f>IF(ISBLANK(F11), "💡 Nhập đáp án vào Lần thử 1", IF(OR(G11="✅ Đúng", I11="✅ Đúng", K11="✅ Đúng"), "✨ Xuất sắc! Bạn đã làm đúng.", IF(NOT(ISBLANK(J11)), "💡 Gợi ý Tầng 3 (Chốt phương pháp): " &amp; "Chọn câu thể hiện chính xác thái độ phản biện hoặc bổ sung của Tác giả 2 đối với Tác giả 1.", IF(NOT(ISBLANK(H11)), "💡 Gợi ý Tầng 2 (Manh mối cấu trúc &amp; Loại trừ): " &amp; "Xác định điểm đồng thuận hoặc bất đồng cốt lõi giữa hai bài đọc.", "💡 Gợi ý Tầng 1 (Định hướng bối cảnh): " &amp; "So sánh góc nhìn của tác giả Đoạn 1 và tác giả Đoạn 2 về cùng một chủ đề."))))</f>
        <v/>
      </c>
      <c r="P11" s="5">
        <f>IF(OR(G11="✅ Đúng", I11="✅ Đúng", K11="✅ Đúng"), "So sánh hai thái độ/góc nhìn của hai tác giả đối với cùng một hình ảnh.", "🔒 Trả lời đúng để mở khóa Strategic Tip!")</f>
        <v/>
      </c>
    </row>
    <row r="12">
      <c r="A12" s="7" t="inlineStr">
        <is>
          <t>Q8</t>
        </is>
      </c>
      <c r="B12" s="5" t="inlineStr">
        <is>
          <t>Main Idea (Vernacular Riddles)</t>
        </is>
      </c>
      <c r="C12" s="5" t="inlineStr">
        <is>
          <t>Primarily encountered by modern readers as inert written texts, the vernacular riddles of early medieval England contain “implicit vestiges” of an interactive performance context, scholar Jill Frederick argues. Locative phrases (e.g., “here” and “now”) scattered throughout the riddles indicate the space shared by their speakers and audiences; the common refrain “say what I am called” invites a verbalized response; and the conflation of many of the riddles’ speakers with their solutions (typically animals, objects, or natural phenomena) suggests a form of dramatic impersonation perhaps meant to entertain during public gatherings.</t>
        </is>
      </c>
      <c r="D12" s="5" t="inlineStr">
        <is>
          <t>Which choice best states the main idea of the text?</t>
        </is>
      </c>
      <c r="E12" s="5" t="inlineStr">
        <is>
          <t>A. Lựa chọn A
B. Lựa chọn B
C. Lựa chọn C
D. Lựa chọn D</t>
        </is>
      </c>
      <c r="F12" s="14" t="n"/>
      <c r="G12" s="7">
        <f>IF(ISBLANK(F12), "⏳ Chờ đáp án", IF(UPPER(TRIM(F12))="B", "✅ Đúng", "❌ Sai"))</f>
        <v/>
      </c>
      <c r="H12" s="14" t="n"/>
      <c r="I12" s="7">
        <f>IF(ISBLANK(H12), "", IF(UPPER(TRIM(H12))="B", "✅ Đúng", "❌ Sai"))</f>
        <v/>
      </c>
      <c r="J12" s="14" t="n"/>
      <c r="K12" s="7">
        <f>IF(ISBLANK(J12), "", IF(UPPER(TRIM(J12))="B", "✅ Đúng", "❌ Sai"))</f>
        <v/>
      </c>
      <c r="L12" s="7">
        <f>COUNTIF(G12, "❌ Sai") + COUNTIF(I12, "❌ Sai") + COUNTIF(K12, "❌ Sai")</f>
        <v/>
      </c>
      <c r="M12" s="7">
        <f>IF(ISBLANK(F12), "⏳ Chờ làm", IF(G12="✅ Đúng", "✅ Đúng ngay L1", IF(I12="✅ Đúng", "✅ Đúng ở L2", IF(K12="✅ Đúng", "✅ Đúng ở L3", "❌ Chưa đúng sau 3 lần"))))</f>
        <v/>
      </c>
      <c r="N12" s="13">
        <f>IF(G12="✅ Đúng", 1, IF(I12="✅ Đúng", 0.667, IF(K12="✅ Đúng", 0.333, 0)))</f>
        <v/>
      </c>
      <c r="O12" s="5">
        <f>IF(ISBLANK(F12), "💡 Nhập đáp án vào Lần thử 1", IF(OR(G12="✅ Đúng", I12="✅ Đúng", K12="✅ Đúng"), "✨ Xuất sắc! Bạn đã làm đúng.", IF(NOT(ISBLANK(J12)), "💡 Gợi ý Tầng 3 (Chốt phương pháp): " &amp; "Loại bỏ các đáp án quá hẹp hoặc quá rộng; chọn câu tóm tắt chính xác luận điểm cốt lõi.", IF(NOT(ISBLANK(H12)), "💡 Gợi ý Tầng 2 (Manh mối cấu trúc &amp; Loại trừ): " &amp; "Xác định chủ đề trung tâm và thông điệp mà tác giả muốn gửi gắm.", "💡 Gợi ý Tầng 1 (Định hướng bối cảnh): " &amp; "Tập trung vào ý tưởng chủ đạo xuyên suốt các câu thơ/đoạn văn thay vì các chi tiết phụ."))))</f>
        <v/>
      </c>
      <c r="P12" s="5">
        <f>IF(OR(G12="✅ Đúng", I12="✅ Đúng", K12="✅ Đúng"), "Main Point = Evidence of performance context vs. Modern passive reading.", "🔒 Trả lời đúng để mở khóa Strategic Tip!")</f>
        <v/>
      </c>
    </row>
    <row r="13">
      <c r="A13" s="7" t="inlineStr">
        <is>
          <t>Q9</t>
        </is>
      </c>
      <c r="B13" s="5" t="inlineStr">
        <is>
          <t>Inference / Textual Evidence</t>
        </is>
      </c>
      <c r="C13" s="5" t="inlineStr">
        <is>
          <t>In the Mexican dialect of Spanish, the consonant s is pronounced with greater tension in the tongue than it is in Castilian, the dominant dialect in Spain, resulting in a sharper sound. Margarita Hidalgo, a linguist at San Diego State University, argues that Mexican Spanish acquired this pronunciation from Nahuatl, the language of the Nahua people in central Mexico: as the Spanish colonizers of Mexico incorporated Nahuatl words into their speech, and as more and more Nahuas spoke Spanish as a second language, the Nahuatl pronunciation of the s consonant replaced the Castilian pronunciation.</t>
        </is>
      </c>
      <c r="D13" s="5" t="inlineStr">
        <is>
          <t>Information in the text best supports which statement about the consonant s?</t>
        </is>
      </c>
      <c r="E13" s="5" t="inlineStr">
        <is>
          <t>A. Lựa chọn A
B. Lựa chọn B
C. Lựa chọn C
D. Lựa chọn D</t>
        </is>
      </c>
      <c r="F13" s="14" t="n"/>
      <c r="G13" s="7">
        <f>IF(ISBLANK(F13), "⏳ Chờ đáp án", IF(UPPER(TRIM(F13))="D", "✅ Đúng", "❌ Sai"))</f>
        <v/>
      </c>
      <c r="H13" s="14" t="n"/>
      <c r="I13" s="7">
        <f>IF(ISBLANK(H13), "", IF(UPPER(TRIM(H13))="D", "✅ Đúng", "❌ Sai"))</f>
        <v/>
      </c>
      <c r="J13" s="14" t="n"/>
      <c r="K13" s="7">
        <f>IF(ISBLANK(J13), "", IF(UPPER(TRIM(J13))="D", "✅ Đúng", "❌ Sai"))</f>
        <v/>
      </c>
      <c r="L13" s="7">
        <f>COUNTIF(G13, "❌ Sai") + COUNTIF(I13, "❌ Sai") + COUNTIF(K13, "❌ Sai")</f>
        <v/>
      </c>
      <c r="M13" s="7">
        <f>IF(ISBLANK(F13), "⏳ Chờ làm", IF(G13="✅ Đúng", "✅ Đúng ngay L1", IF(I13="✅ Đúng", "✅ Đúng ở L2", IF(K13="✅ Đúng", "✅ Đúng ở L3", "❌ Chưa đúng sau 3 lần"))))</f>
        <v/>
      </c>
      <c r="N13" s="13">
        <f>IF(G13="✅ Đúng", 1, IF(I13="✅ Đúng", 0.667, IF(K13="✅ Đúng", 0.333, 0)))</f>
        <v/>
      </c>
      <c r="O13" s="5">
        <f>IF(ISBLANK(F13), "💡 Nhập đáp án vào Lần thử 1", IF(OR(G13="✅ Đúng", I13="✅ Đúng", K13="✅ Đúng"), "✨ Xuất sắc! Bạn đã làm đúng.", IF(NOT(ISBLANK(J13)), "💡 Gợi ý Tầng 3 (Chốt phương pháp): " &amp; "Chọn đáp án dựa trên mối liên hệ logic trực tiếp từ các câu văn trong bài.", IF(NOT(ISBLANK(H13)), "💡 Gợi ý Tầng 2 (Manh mối cấu trúc &amp; Loại trừ): " &amp; "Loại bỏ các lựa chọn đưa ra giả định vượt quá thông tin được cung cấp.", "💡 Gợi ý Tầng 1 (Định hướng bối cảnh): " &amp; "Đối chiếu các dữ kiện trong bài đọc để tìm suy luận có căn cứ trực tiếp."))))</f>
        <v/>
      </c>
      <c r="P13" s="5">
        <f>IF(OR(G13="✅ Đúng", I13="✅ Đúng", K13="✅ Đúng"), "Suy luận trực tiếp từ giả thuyết ảnh hưởng ngôn ngữ Nahuatl.", "🔒 Trả lời đúng để mở khóa Strategic Tip!")</f>
        <v/>
      </c>
    </row>
    <row r="14">
      <c r="A14" s="7" t="inlineStr">
        <is>
          <t>Q10</t>
        </is>
      </c>
      <c r="B14" s="5" t="inlineStr">
        <is>
          <t>Command of Evidence (Cover Crops)</t>
        </is>
      </c>
      <c r="C14" s="5" t="inlineStr">
        <is>
          <t>Cover crops, such as teff, are planted by many farmers between main growing seasons. While these crops are known for increasing biodiversity, Axel Don and his coauthor argued in a 2015 study that cover crops’ role in supporting soil carbon sequestration deserves more attention. Cover crops remove carbon dioxide (CO2) from the air and convert it to organic compounds; some of these compounds are stored in the soil as soil organic carbon (SOC), which contributes to the buildup of SOC stocks over time. Based on data from numerous farm fields, Don and his coauthor concluded that cover crops contribute meaningfully to soil carbon sequestration and, if widely adopted, could help offset agricultural emissions of atmospheric CO2 and other greenhouse gases.</t>
        </is>
      </c>
      <c r="D14" s="5" t="inlineStr">
        <is>
          <t>Which finding, if true, would be most consistent with Don and his coauthor’s conclusion?</t>
        </is>
      </c>
      <c r="E14" s="5" t="inlineStr">
        <is>
          <t>A. Lựa chọn A
B. Lựa chọn B
C. Lựa chọn C
D. Lựa chọn D</t>
        </is>
      </c>
      <c r="F14" s="14" t="n"/>
      <c r="G14" s="7">
        <f>IF(ISBLANK(F14), "⏳ Chờ đáp án", IF(UPPER(TRIM(F14))="D", "✅ Đúng", "❌ Sai"))</f>
        <v/>
      </c>
      <c r="H14" s="14" t="n"/>
      <c r="I14" s="7">
        <f>IF(ISBLANK(H14), "", IF(UPPER(TRIM(H14))="D", "✅ Đúng", "❌ Sai"))</f>
        <v/>
      </c>
      <c r="J14" s="14" t="n"/>
      <c r="K14" s="7">
        <f>IF(ISBLANK(J14), "", IF(UPPER(TRIM(J14))="D", "✅ Đúng", "❌ Sai"))</f>
        <v/>
      </c>
      <c r="L14" s="7">
        <f>COUNTIF(G14, "❌ Sai") + COUNTIF(I14, "❌ Sai") + COUNTIF(K14, "❌ Sai")</f>
        <v/>
      </c>
      <c r="M14" s="7">
        <f>IF(ISBLANK(F14), "⏳ Chờ làm", IF(G14="✅ Đúng", "✅ Đúng ngay L1", IF(I14="✅ Đúng", "✅ Đúng ở L2", IF(K14="✅ Đúng", "✅ Đúng ở L3", "❌ Chưa đúng sau 3 lần"))))</f>
        <v/>
      </c>
      <c r="N14" s="13">
        <f>IF(G14="✅ Đúng", 1, IF(I14="✅ Đúng", 0.667, IF(K14="✅ Đúng", 0.333, 0)))</f>
        <v/>
      </c>
      <c r="O14" s="5">
        <f>IF(ISBLANK(F14), "💡 Nhập đáp án vào Lần thử 1", IF(OR(G14="✅ Đúng", I14="✅ Đúng", K14="✅ Đúng"), "✨ Xuất sắc! Bạn đã làm đúng.", IF(NOT(ISBLANK(J14)), "💡 Gợi ý Tầng 3 (Chốt phương pháp): " &amp; "Chọn đáp án mô tả đúng sự gia tăng hoặc giảm thiểu chỉ số được nêu.", IF(NOT(ISBLANK(H14)), "💡 Gợi ý Tầng 2 (Manh mối cấu trúc &amp; Loại trừ): " &amp; "Tìm sự kết hợp giữa thông tin trong bài đọc và xu hướng thể hiện trên biểu đồ/bảng.", "💡 Gợi ý Tầng 1 (Định hướng bối cảnh): " &amp; "Phân tích dữ liệu được trình bày về tác dụng của cây che phủ (cover crops)."))))</f>
        <v/>
      </c>
      <c r="P14" s="5">
        <f>IF(OR(G14="✅ Đúng", I14="✅ Đúng", K14="✅ Đúng"), "Consistent with conclusion = Dữ liệu thực tế chứng minh vai trò tăng SOC của cover crops.", "🔒 Trả lời đúng để mở khóa Strategic Tip!")</f>
        <v/>
      </c>
    </row>
    <row r="15">
      <c r="A15" s="7" t="inlineStr">
        <is>
          <t>Q11</t>
        </is>
      </c>
      <c r="B15" s="5" t="inlineStr">
        <is>
          <t>Text Completion / Logical Inference</t>
        </is>
      </c>
      <c r="C15" s="5" t="inlineStr">
        <is>
          <t>While the brain regions most strongly associated with language tasks have some modularity in that different language tasks activate these areas to varying degrees, comprehension also invokes other areas of the brain more strongly associated with nonlinguistic functions. For example, understanding a description of a person performing physical actions might call on parts of the listener’s brain associated with sensory- motor functions, whereas a highly emotive account will likely activate areas associated with affective processing. Thus, beyond the areas most strongly associated with linguistic functions, ______</t>
        </is>
      </c>
      <c r="D15" s="5" t="inlineStr">
        <is>
          <t>Which choice most logically completes the text?</t>
        </is>
      </c>
      <c r="E15" s="5" t="inlineStr">
        <is>
          <t>A. Lựa chọn A
B. Lựa chọn B
C. Lựa chọn C
D. Lựa chọn D</t>
        </is>
      </c>
      <c r="F15" s="14" t="n"/>
      <c r="G15" s="7">
        <f>IF(ISBLANK(F15), "⏳ Chờ đáp án", IF(UPPER(TRIM(F15))="A", "✅ Đúng", "❌ Sai"))</f>
        <v/>
      </c>
      <c r="H15" s="14" t="n"/>
      <c r="I15" s="7">
        <f>IF(ISBLANK(H15), "", IF(UPPER(TRIM(H15))="A", "✅ Đúng", "❌ Sai"))</f>
        <v/>
      </c>
      <c r="J15" s="14" t="n"/>
      <c r="K15" s="7">
        <f>IF(ISBLANK(J15), "", IF(UPPER(TRIM(J15))="A", "✅ Đúng", "❌ Sai"))</f>
        <v/>
      </c>
      <c r="L15" s="7">
        <f>COUNTIF(G15, "❌ Sai") + COUNTIF(I15, "❌ Sai") + COUNTIF(K15, "❌ Sai")</f>
        <v/>
      </c>
      <c r="M15" s="7">
        <f>IF(ISBLANK(F15), "⏳ Chờ làm", IF(G15="✅ Đúng", "✅ Đúng ngay L1", IF(I15="✅ Đúng", "✅ Đúng ở L2", IF(K15="✅ Đúng", "✅ Đúng ở L3", "❌ Chưa đúng sau 3 lần"))))</f>
        <v/>
      </c>
      <c r="N15" s="13">
        <f>IF(G15="✅ Đúng", 1, IF(I15="✅ Đúng", 0.667, IF(K15="✅ Đúng", 0.333, 0)))</f>
        <v/>
      </c>
      <c r="O15" s="5">
        <f>IF(ISBLANK(F15), "💡 Nhập đáp án vào Lần thử 1", IF(OR(G15="✅ Đúng", I15="✅ Đúng", K15="✅ Đúng"), "✨ Xuất sắc! Bạn đã làm đúng.", IF(NOT(ISBLANK(J15)), "💡 Gợi ý Tầng 3 (Chốt phương pháp): " &amp; "Chọn vế kết luận nối tiếp hợp lý với hướng lập luận của tác giả.", IF(NOT(ISBLANK(H15)), "💡 Gợi ý Tầng 2 (Manh mối cấu trúc &amp; Loại trừ): " &amp; "Chú ý từ nối chỉ sự tương phản hoặc nguyên nhân - kết quả ở vế trước.", "💡 Gợi ý Tầng 1 (Định hướng bối cảnh): " &amp; "Phân tích mối quan hệ logic giữa hai vế của câu cần hoàn thành."))))</f>
        <v/>
      </c>
      <c r="P15" s="5">
        <f>IF(OR(G15="✅ Đúng", I15="✅ Đúng", K15="✅ Đúng"), "Kết luận hợp logic: Loại hình nội dung khác nhau -&gt; Kích hoạt các vùng não phi ngôn ngữ khác nhau.", "🔒 Trả lời đúng để mở khóa Strategic Tip!")</f>
        <v/>
      </c>
    </row>
    <row r="16">
      <c r="A16" s="7" t="inlineStr">
        <is>
          <t>Q12</t>
        </is>
      </c>
      <c r="B16" s="5" t="inlineStr">
        <is>
          <t>Text Completion / Logic Comparison</t>
        </is>
      </c>
      <c r="C16" s="5" t="inlineStr">
        <is>
          <t>The Clarion-Clipperton Zone (CCZ) is an expanse of abyssal plain and seamounts (underwater mountains) between Hawai‘i and Mexico in which mining is permitted, but the area’s biodiversity is poorly understood. The vast majority of invertebrate species found in a recent survey of the CCZ were hitherto unknown to scientists, and sampling for animal life has been highly concentrated in the eastern part of the zone. Some species like Psychropotes dyscrita were identified both morphologically and molecularly (using DNA analysis), whereas Discantenna metallica and other species for which molecular sampling was impracticable were identified solely based on physical morphology. Since molecular analysis does not require distinguishing subtle physiological differences, it is ______</t>
        </is>
      </c>
      <c r="D16" s="5" t="inlineStr">
        <is>
          <t>Which choice most logically completes the text?</t>
        </is>
      </c>
      <c r="E16" s="5" t="inlineStr">
        <is>
          <t>A. Lựa chọn A
B. Lựa chọn B
C. Lựa chọn C
D. Lựa chọn D</t>
        </is>
      </c>
      <c r="F16" s="14" t="n"/>
      <c r="G16" s="7">
        <f>IF(ISBLANK(F16), "⏳ Chờ đáp án", IF(UPPER(TRIM(F16))="D", "✅ Đúng", "❌ Sai"))</f>
        <v/>
      </c>
      <c r="H16" s="14" t="n"/>
      <c r="I16" s="7">
        <f>IF(ISBLANK(H16), "", IF(UPPER(TRIM(H16))="D", "✅ Đúng", "❌ Sai"))</f>
        <v/>
      </c>
      <c r="J16" s="14" t="n"/>
      <c r="K16" s="7">
        <f>IF(ISBLANK(J16), "", IF(UPPER(TRIM(J16))="D", "✅ Đúng", "❌ Sai"))</f>
        <v/>
      </c>
      <c r="L16" s="7">
        <f>COUNTIF(G16, "❌ Sai") + COUNTIF(I16, "❌ Sai") + COUNTIF(K16, "❌ Sai")</f>
        <v/>
      </c>
      <c r="M16" s="7">
        <f>IF(ISBLANK(F16), "⏳ Chờ làm", IF(G16="✅ Đúng", "✅ Đúng ngay L1", IF(I16="✅ Đúng", "✅ Đúng ở L2", IF(K16="✅ Đúng", "✅ Đúng ở L3", "❌ Chưa đúng sau 3 lần"))))</f>
        <v/>
      </c>
      <c r="N16" s="13">
        <f>IF(G16="✅ Đúng", 1, IF(I16="✅ Đúng", 0.667, IF(K16="✅ Đúng", 0.333, 0)))</f>
        <v/>
      </c>
      <c r="O16" s="5">
        <f>IF(ISBLANK(F16), "💡 Nhập đáp án vào Lần thử 1", IF(OR(G16="✅ Đúng", I16="✅ Đúng", K16="✅ Đúng"), "✨ Xuất sắc! Bạn đã làm đúng.", IF(NOT(ISBLANK(J16)), "💡 Gợi ý Tầng 3 (Chốt phương pháp): " &amp; "Chọn câu hoàn thành thể hiện chính xác kết quả so sánh được suy ra từ bài.", IF(NOT(ISBLANK(H16)), "💡 Gợi ý Tầng 2 (Manh mối cấu trúc &amp; Loại trừ): " &amp; "Chú ý đến các từ chỉ mức độ hoặc tỉ lệ tương quan giữa hai đối tượng.", "💡 Gợi ý Tầng 1 (Định hướng bối cảnh): " &amp; "Xác định sự so sánh giữa hai nhóm hoặc hai phương pháp được đề cập."))))</f>
        <v/>
      </c>
      <c r="P16" s="5">
        <f>IF(OR(G16="✅ Đúng", I16="✅ Đúng", K16="✅ Đúng"), "Ưu điểm của phân tích phân tử: Phân biệt chính xác các loài có hình thái bên ngoài tương đồng.", "🔒 Trả lời đúng để mở khóa Strategic Tip!")</f>
        <v/>
      </c>
    </row>
    <row r="17">
      <c r="A17" s="7" t="inlineStr">
        <is>
          <t>Q13</t>
        </is>
      </c>
      <c r="B17" s="5" t="inlineStr">
        <is>
          <t>Text Completion / Complex Inference</t>
        </is>
      </c>
      <c r="C17" s="5" t="inlineStr">
        <is>
          <t>Rare species advantage (RSA) describes the situation in which there are few conspecifics (other members of the same species) in an organism’s immediate surroundings, enabling the organism to avoid competition with conspecifics for the same resources; RSA is widely believed to play a crucial role in maintaining ecological stability. Among tree species in the Barro Colorado Island plot (latitude 9.15∘ N) and other tropical forest sites, there is little correlation between conspecific aggregation and the abundance of a given species in the wider local area, so RSA is expected, but in the Fenglin Nature Reserve (latitude 48.08∘ N) and other temperate forest sites, the aggregation-abundance correlation for tree species is strongly negative. Mathematical modeling suggests, however, that ecological niche distinction may mitigate the apparent risk to temperate ecological stability engendered by this pattern: ______</t>
        </is>
      </c>
      <c r="D17" s="5" t="inlineStr">
        <is>
          <t>Which choice most logically completes the text?</t>
        </is>
      </c>
      <c r="E17" s="5" t="inlineStr">
        <is>
          <t>A. Lựa chọn A
B. Lựa chọn B
C. Lựa chọn C
D. Lựa chọn D</t>
        </is>
      </c>
      <c r="F17" s="14" t="n"/>
      <c r="G17" s="7">
        <f>IF(ISBLANK(F17), "⏳ Chờ đáp án", IF(UPPER(TRIM(F17))="C", "✅ Đúng", "❌ Sai"))</f>
        <v/>
      </c>
      <c r="H17" s="14" t="n"/>
      <c r="I17" s="7">
        <f>IF(ISBLANK(H17), "", IF(UPPER(TRIM(H17))="C", "✅ Đúng", "❌ Sai"))</f>
        <v/>
      </c>
      <c r="J17" s="14" t="n"/>
      <c r="K17" s="7">
        <f>IF(ISBLANK(J17), "", IF(UPPER(TRIM(J17))="C", "✅ Đúng", "❌ Sai"))</f>
        <v/>
      </c>
      <c r="L17" s="7">
        <f>COUNTIF(G17, "❌ Sai") + COUNTIF(I17, "❌ Sai") + COUNTIF(K17, "❌ Sai")</f>
        <v/>
      </c>
      <c r="M17" s="7">
        <f>IF(ISBLANK(F17), "⏳ Chờ làm", IF(G17="✅ Đúng", "✅ Đúng ngay L1", IF(I17="✅ Đúng", "✅ Đúng ở L2", IF(K17="✅ Đúng", "✅ Đúng ở L3", "❌ Chưa đúng sau 3 lần"))))</f>
        <v/>
      </c>
      <c r="N17" s="13">
        <f>IF(G17="✅ Đúng", 1, IF(I17="✅ Đúng", 0.667, IF(K17="✅ Đúng", 0.333, 0)))</f>
        <v/>
      </c>
      <c r="O17" s="5">
        <f>IF(ISBLANK(F17), "💡 Nhập đáp án vào Lần thử 1", IF(OR(G17="✅ Đúng", I17="✅ Đúng", K17="✅ Đúng"), "✨ Xuất sắc! Bạn đã làm đúng.", IF(NOT(ISBLANK(J17)), "💡 Gợi ý Tầng 3 (Chốt phương pháp): " &amp; "Chọn câu kết luận phản ánh đúng tác động của kết quả thực nghiệm lên giả thuyết.", IF(NOT(ISBLANK(H17)), "💡 Gợi ý Tầng 2 (Manh mối cấu trúc &amp; Loại trừ): " &amp; "Xác định kết quả thử nghiệm nào sẽ củng cố hoặc làm suy yếu giả thuyết đó.", "💡 Gợi ý Tầng 1 (Định hướng bối cảnh): " &amp; "Đọc kỹ các câu tiền đề để nắm vững giả thuyết nghiên cứu được đưa ra."))))</f>
        <v/>
      </c>
      <c r="P17" s="5">
        <f>IF(OR(G17="✅ Đúng", I17="✅ Đúng", K17="✅ Đúng"), "Giải thích cơ chế Niche Distinction giúp duy trì sự ổn định sinh thái.", "🔒 Trả lời đúng để mở khóa Strategic Tip!")</f>
        <v/>
      </c>
    </row>
    <row r="18">
      <c r="A18" s="7" t="inlineStr">
        <is>
          <t>Q14</t>
        </is>
      </c>
      <c r="B18" s="5" t="inlineStr">
        <is>
          <t>Standard English Conventions (Modifiers)</t>
        </is>
      </c>
      <c r="C18" s="5" t="inlineStr">
        <is>
          <t>A premortem is an exercise in which teams imagine their project has already failed, then brainstorm possible reasons for that failure. Despite its apparent pessimism, ______ prompting teams to proactively develop mitigation strategies during the planning stage. As a result, the project is more likely to succeed.</t>
        </is>
      </c>
      <c r="D18" s="5" t="inlineStr">
        <is>
          <t>Which choice completes the text so that it conforms to the conventions of Standard English?</t>
        </is>
      </c>
      <c r="E18" s="5" t="inlineStr">
        <is>
          <t>A. Lựa chọn A
B. Lựa chọn B
C. Lựa chọn C
D. Lựa chọn D</t>
        </is>
      </c>
      <c r="F18" s="14" t="n"/>
      <c r="G18" s="7">
        <f>IF(ISBLANK(F18), "⏳ Chờ đáp án", IF(UPPER(TRIM(F18))="B", "✅ Đúng", "❌ Sai"))</f>
        <v/>
      </c>
      <c r="H18" s="14" t="n"/>
      <c r="I18" s="7">
        <f>IF(ISBLANK(H18), "", IF(UPPER(TRIM(H18))="B", "✅ Đúng", "❌ Sai"))</f>
        <v/>
      </c>
      <c r="J18" s="14" t="n"/>
      <c r="K18" s="7">
        <f>IF(ISBLANK(J18), "", IF(UPPER(TRIM(J18))="B", "✅ Đúng", "❌ Sai"))</f>
        <v/>
      </c>
      <c r="L18" s="7">
        <f>COUNTIF(G18, "❌ Sai") + COUNTIF(I18, "❌ Sai") + COUNTIF(K18, "❌ Sai")</f>
        <v/>
      </c>
      <c r="M18" s="7">
        <f>IF(ISBLANK(F18), "⏳ Chờ làm", IF(G18="✅ Đúng", "✅ Đúng ngay L1", IF(I18="✅ Đúng", "✅ Đúng ở L2", IF(K18="✅ Đúng", "✅ Đúng ở L3", "❌ Chưa đúng sau 3 lần"))))</f>
        <v/>
      </c>
      <c r="N18" s="13">
        <f>IF(G18="✅ Đúng", 1, IF(I18="✅ Đúng", 0.667, IF(K18="✅ Đúng", 0.333, 0)))</f>
        <v/>
      </c>
      <c r="O18" s="5">
        <f>IF(ISBLANK(F18), "💡 Nhập đáp án vào Lần thử 1", IF(OR(G18="✅ Đúng", I18="✅ Đúng", K18="✅ Đúng"), "✨ Xuất sắc! Bạn đã làm đúng.", IF(NOT(ISBLANK(J18)), "💡 Gợi ý Tầng 3 (Chốt phương pháp): " &amp; "Loại bỏ các phương án bị lỗi bổ ngữ lủng lẳng (dangling modifier).", IF(NOT(ISBLANK(H18)), "💡 Gợi ý Tầng 2 (Manh mối cấu trúc &amp; Loại trừ): " &amp; "Quy tắc bổ ngữ: Danh từ đứng ngay sau dấu phẩy phải là chủ thể thực hiện hành động phân từ.", "💡 Gợi ý Tầng 1 (Định hướng bối cảnh): " &amp; "Xác định vị trí của cụm phân từ đầu câu và đối tượng mà nó bổ nghĩa."))))</f>
        <v/>
      </c>
      <c r="P18" s="5">
        <f>IF(OR(G18="✅ Đúng", I18="✅ Đúng", K18="✅ Đúng"), "Bổ ngữ phân từ đầu câu: [Participle Modifier], [Subject + Verb].", "🔒 Trả lời đúng để mở khóa Strategic Tip!")</f>
        <v/>
      </c>
    </row>
    <row r="19">
      <c r="A19" s="7" t="inlineStr">
        <is>
          <t>Q15</t>
        </is>
      </c>
      <c r="B19" s="5" t="inlineStr">
        <is>
          <t>Standard English Conventions (Parallel Lists)</t>
        </is>
      </c>
      <c r="C19" s="5" t="inlineStr">
        <is>
          <t>As one of aviation’s earliest female stunt performers, Gladys Ingle developed a versatile repertoire of acrobatic feats. Her specialized skills included standing on the wing of a flying aircraft and shooting a bow and arrow at a ______ perfect balance during aerial maneuvers, such as vertical loops; and even walking across the wing as an aircraft flew at full speed beneath a bridge.</t>
        </is>
      </c>
      <c r="D19" s="5" t="inlineStr">
        <is>
          <t>Which choice completes the text so that it conforms to the conventions of Standard English?</t>
        </is>
      </c>
      <c r="E19" s="5" t="inlineStr">
        <is>
          <t>A. Lựa chọn A
B. Lựa chọn B
C. Lựa chọn C
D. Lựa chọn D</t>
        </is>
      </c>
      <c r="F19" s="14" t="n"/>
      <c r="G19" s="7">
        <f>IF(ISBLANK(F19), "⏳ Chờ đáp án", IF(UPPER(TRIM(F19))="A", "✅ Đúng", "❌ Sai"))</f>
        <v/>
      </c>
      <c r="H19" s="14" t="n"/>
      <c r="I19" s="7">
        <f>IF(ISBLANK(H19), "", IF(UPPER(TRIM(H19))="A", "✅ Đúng", "❌ Sai"))</f>
        <v/>
      </c>
      <c r="J19" s="14" t="n"/>
      <c r="K19" s="7">
        <f>IF(ISBLANK(J19), "", IF(UPPER(TRIM(J19))="A", "✅ Đúng", "❌ Sai"))</f>
        <v/>
      </c>
      <c r="L19" s="7">
        <f>COUNTIF(G19, "❌ Sai") + COUNTIF(I19, "❌ Sai") + COUNTIF(K19, "❌ Sai")</f>
        <v/>
      </c>
      <c r="M19" s="7">
        <f>IF(ISBLANK(F19), "⏳ Chờ làm", IF(G19="✅ Đúng", "✅ Đúng ngay L1", IF(I19="✅ Đúng", "✅ Đúng ở L2", IF(K19="✅ Đúng", "✅ Đúng ở L3", "❌ Chưa đúng sau 3 lần"))))</f>
        <v/>
      </c>
      <c r="N19" s="13">
        <f>IF(G19="✅ Đúng", 1, IF(I19="✅ Đúng", 0.667, IF(K19="✅ Đúng", 0.333, 0)))</f>
        <v/>
      </c>
      <c r="O19" s="5">
        <f>IF(ISBLANK(F19), "💡 Nhập đáp án vào Lần thử 1", IF(OR(G19="✅ Đúng", I19="✅ Đúng", K19="✅ Đúng"), "✨ Xuất sắc! Bạn đã làm đúng.", IF(NOT(ISBLANK(J19)), "💡 Gợi ý Tầng 3 (Chốt phương pháp): " &amp; "Chọn phương án duy trì đúng hình thái ngữ pháp đồng bộ với các phần tử trước.", IF(NOT(ISBLANK(H19)), "💡 Gợi ý Tầng 2 (Manh mối cấu trúc &amp; Loại trừ): " &amp; "Các phần tử được nối bằng liên từ phải có cùng dạng từ (động từ, danh từ hoặc cụm từ).", "💡 Gợi ý Tầng 1 (Định hướng bối cảnh): " &amp; "Kiểm tra cấu trúc song song (parallelism) trong danh sách các phần tử."))))</f>
        <v/>
      </c>
      <c r="P19" s="5">
        <f>IF(OR(G19="✅ Đúng", I19="✅ Đúng", K19="✅ Đúng"), "Dùng dấu chấm phẩy (;) phân tách các mục lớn trong danh sách phức tạp.", "🔒 Trả lời đúng để mở khóa Strategic Tip!")</f>
        <v/>
      </c>
    </row>
    <row r="20">
      <c r="A20" s="7" t="inlineStr">
        <is>
          <t>Q16</t>
        </is>
      </c>
      <c r="B20" s="5" t="inlineStr">
        <is>
          <t>Standard English Conventions (Participles)</t>
        </is>
      </c>
      <c r="C20" s="5" t="inlineStr">
        <is>
          <t>During a recent investigation, archaeologists ______ an explanation for the consistent and seemingly deliberate placement of petroglyphs (rock carvings) near water analyzed several sites on Caribbean islands. They discovered that many of the pools near petroglyphs had consistent water levels year-round, creating perfect reflecting surfaces for the carved symbols on the rocks.</t>
        </is>
      </c>
      <c r="D20" s="5" t="inlineStr">
        <is>
          <t>Which choice completes the text so that it conforms to the conventions of Standard English?</t>
        </is>
      </c>
      <c r="E20" s="5" t="inlineStr">
        <is>
          <t>A. Lựa chọn A
B. Lựa chọn B
C. Lựa chọn C
D. Lựa chọn D</t>
        </is>
      </c>
      <c r="F20" s="14" t="n"/>
      <c r="G20" s="7">
        <f>IF(ISBLANK(F20), "⏳ Chờ đáp án", IF(UPPER(TRIM(F20))="C", "✅ Đúng", "❌ Sai"))</f>
        <v/>
      </c>
      <c r="H20" s="14" t="n"/>
      <c r="I20" s="7">
        <f>IF(ISBLANK(H20), "", IF(UPPER(TRIM(H20))="C", "✅ Đúng", "❌ Sai"))</f>
        <v/>
      </c>
      <c r="J20" s="14" t="n"/>
      <c r="K20" s="7">
        <f>IF(ISBLANK(J20), "", IF(UPPER(TRIM(J20))="C", "✅ Đúng", "❌ Sai"))</f>
        <v/>
      </c>
      <c r="L20" s="7">
        <f>COUNTIF(G20, "❌ Sai") + COUNTIF(I20, "❌ Sai") + COUNTIF(K20, "❌ Sai")</f>
        <v/>
      </c>
      <c r="M20" s="7">
        <f>IF(ISBLANK(F20), "⏳ Chờ làm", IF(G20="✅ Đúng", "✅ Đúng ngay L1", IF(I20="✅ Đúng", "✅ Đúng ở L2", IF(K20="✅ Đúng", "✅ Đúng ở L3", "❌ Chưa đúng sau 3 lần"))))</f>
        <v/>
      </c>
      <c r="N20" s="13">
        <f>IF(G20="✅ Đúng", 1, IF(I20="✅ Đúng", 0.667, IF(K20="✅ Đúng", 0.333, 0)))</f>
        <v/>
      </c>
      <c r="O20" s="5">
        <f>IF(ISBLANK(F20), "💡 Nhập đáp án vào Lần thử 1", IF(OR(G20="✅ Đúng", I20="✅ Đúng", K20="✅ Đúng"), "✨ Xuất sắc! Bạn đã làm đúng.", IF(NOT(ISBLANK(J20)), "💡 Gợi ý Tầng 3 (Chốt phương pháp): " &amp; "Chọn dạng phân từ phù hợp với cấu trúc ngữ pháp của câu.", IF(NOT(ISBLANK(H20)), "💡 Gợi ý Tầng 2 (Manh mối cấu trúc &amp; Loại trừ): " &amp; "Phân biệt giữa dạng phân từ làm tính từ bổ nghĩa và động từ chia thì chính.", "💡 Gợi ý Tầng 1 (Định hướng bối cảnh): " &amp; "Phân tích vai trò ngữ pháp của từ cần điền trong mệnh đề chính."))))</f>
        <v/>
      </c>
      <c r="P20" s="5">
        <f>IF(OR(G20="✅ Đúng", I20="✅ Đúng", K20="✅ Đúng"), "Rút gọn mệnh đề quan hệ chủ động: archaeologists who were seeking -&gt; archaeologists seeking.", "🔒 Trả lời đúng để mở khóa Strategic Tip!")</f>
        <v/>
      </c>
    </row>
    <row r="21" ht="15.75" customHeight="1" s="19">
      <c r="A21" s="7" t="inlineStr">
        <is>
          <t>Q17</t>
        </is>
      </c>
      <c r="B21" s="5" t="inlineStr">
        <is>
          <t>Standard English Conventions (Punctuation Dashes)</t>
        </is>
      </c>
      <c r="C21" s="5" t="inlineStr">
        <is>
          <t>For his mash-up “Smells Like Rockin’ Robin,” DJ Mark Vidler layered Kurt Cobain’s minor-key vocals from “Smells Like Teen Spirit” over the Jackson 5’s major-key blues progression from “Rockin’ ______ by inserting the grunge singer’s vocal melody as pitch-shifted “blue notes” within the pop-soul group’s harmonic framework, creates an intensified “bluesy” sound and subverts the expectations of listeners familiar with either musical source.</t>
        </is>
      </c>
      <c r="D21" s="5" t="inlineStr">
        <is>
          <t>Which choice completes the text so that it conforms to the conventions of Standard English?</t>
        </is>
      </c>
      <c r="E21" s="5" t="inlineStr">
        <is>
          <t>A. Lựa chọn A
B. Lựa chọn B
C. Lựa chọn C
D. Lựa chọn D</t>
        </is>
      </c>
      <c r="F21" s="14" t="n"/>
      <c r="G21" s="7">
        <f>IF(ISBLANK(F21), "⏳ Chờ đáp án", IF(UPPER(TRIM(F21))="D", "✅ Đúng", "❌ Sai"))</f>
        <v/>
      </c>
      <c r="H21" s="14" t="n"/>
      <c r="I21" s="7">
        <f>IF(ISBLANK(H21), "", IF(UPPER(TRIM(H21))="D", "✅ Đúng", "❌ Sai"))</f>
        <v/>
      </c>
      <c r="J21" s="14" t="n"/>
      <c r="K21" s="7">
        <f>IF(ISBLANK(J21), "", IF(UPPER(TRIM(J21))="D", "✅ Đúng", "❌ Sai"))</f>
        <v/>
      </c>
      <c r="L21" s="7">
        <f>COUNTIF(G21, "❌ Sai") + COUNTIF(I21, "❌ Sai") + COUNTIF(K21, "❌ Sai")</f>
        <v/>
      </c>
      <c r="M21" s="7">
        <f>IF(ISBLANK(F21), "⏳ Chờ làm", IF(G21="✅ Đúng", "✅ Đúng ngay L1", IF(I21="✅ Đúng", "✅ Đúng ở L2", IF(K21="✅ Đúng", "✅ Đúng ở L3", "❌ Chưa đúng sau 3 lần"))))</f>
        <v/>
      </c>
      <c r="N21" s="13">
        <f>IF(G21="✅ Đúng", 1, IF(I21="✅ Đúng", 0.667, IF(K21="✅ Đúng", 0.333, 0)))</f>
        <v/>
      </c>
      <c r="O21" s="5">
        <f>IF(ISBLANK(F21), "💡 Nhập đáp án vào Lần thử 1", IF(OR(G21="✅ Đúng", I21="✅ Đúng", K21="✅ Đúng"), "✨ Xuất sắc! Bạn đã làm đúng.", IF(NOT(ISBLANK(J21)), "💡 Gợi ý Tầng 3 (Chốt phương pháp): " &amp; "Loại bỏ phương án thiếu dấu ngắt hoặc dùng sai kết hợp dấu.", IF(NOT(ISBLANK(H21)), "💡 Gợi ý Tầng 2 (Manh mối cấu trúc &amp; Loại trừ): " &amp; "Sử dụng cặp dấu gạch ngang đồng bộ để ngắt mở và ngắt kết thúc cụm bổ nghĩa.", "💡 Gợi ý Tầng 1 (Định hướng bối cảnh): " &amp; "Xác định cụm từ bổ sung thông tin không thiết yếu trong câu."))))</f>
        <v/>
      </c>
      <c r="P21" s="5">
        <f>IF(OR(G21="✅ Đúng", I21="✅ Đúng", K21="✅ Đúng"), "Dấu gạch ngang đơn dùng để nhấn mạnh cụm từ bổ nghĩa ở cuối câu.", "🔒 Trả lời đúng để mở khóa Strategic Tip!")</f>
        <v/>
      </c>
    </row>
    <row r="22" ht="15.75" customHeight="1" s="19">
      <c r="A22" s="7" t="inlineStr">
        <is>
          <t>Q18</t>
        </is>
      </c>
      <c r="B22" s="5" t="inlineStr">
        <is>
          <t>Standard English Conventions (Punctuation &amp; Prepositional Phrases)</t>
        </is>
      </c>
      <c r="C22" s="5" t="inlineStr">
        <is>
          <t>During the late nineteenth century, agricultural chemist George Washington Carver revolutionized farming practices in the American ______ promoting systematic crop rotation techniques that replenished essential nitrogen in depleted soils.</t>
        </is>
      </c>
      <c r="D22" s="5" t="inlineStr">
        <is>
          <t>Which choice completes the text so that it conforms to the conventions of Standard English?</t>
        </is>
      </c>
      <c r="E22" s="5" t="inlineStr">
        <is>
          <t>A. South, by
B. South by
C. South; by
D. South: by</t>
        </is>
      </c>
      <c r="F22" s="14" t="n"/>
      <c r="G22" s="7">
        <f>IF(ISBLANK(F22), "⏳ Chờ đáp án", IF(UPPER(TRIM(F22))="B", "✅ Đúng", "❌ Sai"))</f>
        <v/>
      </c>
      <c r="H22" s="14" t="n"/>
      <c r="I22" s="7">
        <f>IF(ISBLANK(H22), "", IF(UPPER(TRIM(H22))="B", "✅ Đúng", "❌ Sai"))</f>
        <v/>
      </c>
      <c r="J22" s="14" t="n"/>
      <c r="K22" s="7">
        <f>IF(ISBLANK(J22), "", IF(UPPER(TRIM(J22))="B", "✅ Đúng", "❌ Sai"))</f>
        <v/>
      </c>
      <c r="L22" s="7">
        <f>COUNTIF(G22, "❌ Sai") + COUNTIF(I22, "❌ Sai") + COUNTIF(K22, "❌ Sai")</f>
        <v/>
      </c>
      <c r="M22" s="7">
        <f>IF(ISBLANK(F22), "⏳ Chờ làm", IF(G22="✅ Đúng", "✅ Đúng ngay L1", IF(I22="✅ Đúng", "✅ Đúng ở L2", IF(K22="✅ Đúng", "✅ Đúng ở L3", "❌ Chưa đúng sau 3 lần"))))</f>
        <v/>
      </c>
      <c r="N22" s="13">
        <f>IF(G22="✅ Đúng", 1, IF(I22="✅ Đúng", 0.667, IF(K22="✅ Đúng", 0.333, 0)))</f>
        <v/>
      </c>
      <c r="O22" s="5">
        <f>IF(ISBLANK(F22), "💡 Nhập đáp án vào Lần thử 1", IF(OR(G22="✅ Đúng", I22="✅ Đúng", K22="✅ Đúng"), "✨ Xuất sắc! Bạn đã làm đúng.", IF(NOT(ISBLANK(J22)), "💡 Gợi ý Tầng 3 (Chốt phương pháp): " &amp; "Chọn giới từ đúng theo quy tắc kết hợp từ chuẩn tiếng Anh.", IF(NOT(ISBLANK(H22)), "💡 Gợi ý Tầng 2 (Manh mối cấu trúc &amp; Loại trừ): " &amp; "Thói quen sử dụng từ (collocation) quy định giới từ chuẩn xác trong ngữ cảnh này.", "💡 Gợi ý Tầng 1 (Định hướng bối cảnh): " &amp; "Xác định giới từ đi kèm cố định với danh từ hoặc động từ đứng trước."))))</f>
        <v/>
      </c>
      <c r="P22" s="5">
        <f>IF(OR(G22="✅ Đúng", I22="✅ Đúng", K22="✅ Đúng"), "Không đặt dấu phẩy ngăn cách trực tiếp trước giới từ chỉ phương thức.", "🔒 Trả lời đúng để mở khóa Strategic Tip!")</f>
        <v/>
      </c>
    </row>
    <row r="23" ht="15.75" customHeight="1" s="19">
      <c r="A23" s="7" t="inlineStr">
        <is>
          <t>Q19</t>
        </is>
      </c>
      <c r="B23" s="5" t="inlineStr">
        <is>
          <t>Standard English Conventions (Boundaries &amp; Sentence Structure)</t>
        </is>
      </c>
      <c r="C23" s="5" t="inlineStr">
        <is>
          <t>Named for the year in which it was detected by English astronomers, SN 2016aps was a supernova (the explosion of a massive ______ in the constellation Draco, 3.6 billion light-years from Earth, the transient yet powerful blast propelled particles and debris into space at extremely high speeds.</t>
        </is>
      </c>
      <c r="D23" s="5" t="inlineStr">
        <is>
          <t>Which choice completes the text so that it conforms to the conventions of Standard English?</t>
        </is>
      </c>
      <c r="E23" s="5" t="inlineStr">
        <is>
          <t>A. star). Occurring
B. star) occurring
C. star) and occurring
D. star), occurring</t>
        </is>
      </c>
      <c r="F23" s="14" t="n"/>
      <c r="G23" s="7">
        <f>IF(ISBLANK(F23), "⏳ Chờ đáp án", IF(UPPER(TRIM(F23))="A", "✅ Đúng", "❌ Sai"))</f>
        <v/>
      </c>
      <c r="H23" s="14" t="n"/>
      <c r="I23" s="7">
        <f>IF(ISBLANK(H23), "", IF(UPPER(TRIM(H23))="A", "✅ Đúng", "❌ Sai"))</f>
        <v/>
      </c>
      <c r="J23" s="14" t="n"/>
      <c r="K23" s="7">
        <f>IF(ISBLANK(J23), "", IF(UPPER(TRIM(J23))="A", "✅ Đúng", "❌ Sai"))</f>
        <v/>
      </c>
      <c r="L23" s="7">
        <f>COUNTIF(G23, "❌ Sai") + COUNTIF(I23, "❌ Sai") + COUNTIF(K23, "❌ Sai")</f>
        <v/>
      </c>
      <c r="M23" s="7">
        <f>IF(ISBLANK(F23), "⏳ Chờ làm", IF(G23="✅ Đúng", "✅ Đúng ngay L1", IF(I23="✅ Đúng", "✅ Đúng ở L2", IF(K23="✅ Đúng", "✅ Đúng ở L3", "❌ Chưa đúng sau 3 lần"))))</f>
        <v/>
      </c>
      <c r="N23" s="13">
        <f>IF(G23="✅ Đúng", 1, IF(I23="✅ Đúng", 0.667, IF(K23="✅ Đúng", 0.333, 0)))</f>
        <v/>
      </c>
      <c r="O23" s="5">
        <f>IF(ISBLANK(F23), "💡 Nhập đáp án vào Lần thử 1", IF(OR(G23="✅ Đúng", I23="✅ Đúng", K23="✅ Đúng"), "✨ Xuất sắc! Bạn đã làm đúng.", IF(NOT(ISBLANK(J23)), "💡 Gợi ý Tầng 3 (Chốt phương pháp): " &amp; "Chọn dạng từ đảm bảo câu có đủ chủ ngữ và vị ngữ hoàn chỉnh.", IF(NOT(ISBLANK(H23)), "💡 Gợi ý Tầng 2 (Manh mối cấu trúc &amp; Loại trừ): " &amp; "Tránh lỗi câu thiếu vị ngữ (fragment) hoặc thừa vị ngữ nối sai quy tắc.", "💡 Gợi ý Tầng 1 (Định hướng bối cảnh): " &amp; "Phân tích cấu trúc câu để xác định xem đã có động từ chính chia thì chưa."))))</f>
        <v/>
      </c>
      <c r="P23" s="5">
        <f>IF(OR(G23="✅ Đúng", I23="✅ Đúng", K23="✅ Đúng"), "Tránh lỗi Comma Splice bằng cách kết thúc câu bằng dấu chấm.", "🔒 Trả lời đúng để mở khóa Strategic Tip!")</f>
        <v/>
      </c>
    </row>
    <row r="24" ht="15.75" customHeight="1" s="19">
      <c r="A24" s="7" t="inlineStr">
        <is>
          <t>Q20</t>
        </is>
      </c>
      <c r="B24" s="5" t="inlineStr">
        <is>
          <t>Standard English Conventions (Dangling &amp; Misplaced Modifiers)</t>
        </is>
      </c>
      <c r="C24" s="5" t="inlineStr">
        <is>
          <t>Originating during the Cretaceous period, ______</t>
        </is>
      </c>
      <c r="D24" s="5" t="inlineStr">
        <is>
          <t>Which choice completes the text so that it conforms to the conventions of Standard English?</t>
        </is>
      </c>
      <c r="E24" s="5" t="inlineStr">
        <is>
          <t>A. entomologists have extensively examined fossilized resin deposits excavated in northern Myanmar.
B. the fossilized amber specimens excavated in northern Myanmar preserve unprecedented anatomical details of early arthropods.
C. paleontological excavation in northern Myanmar has uncovered numerous ancient arthropods.
D. arthropods were trapped and entombed within sticky conifer secretions.</t>
        </is>
      </c>
      <c r="F24" s="14" t="n"/>
      <c r="G24" s="7">
        <f>IF(ISBLANK(F24), "⏳ Chờ đáp án", IF(UPPER(TRIM(F24))="B", "✅ Đúng", "❌ Sai"))</f>
        <v/>
      </c>
      <c r="H24" s="14" t="n"/>
      <c r="I24" s="7">
        <f>IF(ISBLANK(H24), "", IF(UPPER(TRIM(H24))="B", "✅ Đúng", "❌ Sai"))</f>
        <v/>
      </c>
      <c r="J24" s="14" t="n"/>
      <c r="K24" s="7">
        <f>IF(ISBLANK(J24), "", IF(UPPER(TRIM(J24))="B", "✅ Đúng", "❌ Sai"))</f>
        <v/>
      </c>
      <c r="L24" s="7">
        <f>COUNTIF(G24, "❌ Sai") + COUNTIF(I24, "❌ Sai") + COUNTIF(K24, "❌ Sai")</f>
        <v/>
      </c>
      <c r="M24" s="7">
        <f>IF(ISBLANK(F24), "⏳ Chờ làm", IF(G24="✅ Đúng", "✅ Đúng ngay L1", IF(I24="✅ Đúng", "✅ Đúng ở L2", IF(K24="✅ Đúng", "✅ Đúng ở L3", "❌ Chưa đúng sau 3 lần"))))</f>
        <v/>
      </c>
      <c r="N24" s="13">
        <f>IF(G24="✅ Đúng", 1, IF(I24="✅ Đúng", 0.667, IF(K24="✅ Đúng", 0.333, 0)))</f>
        <v/>
      </c>
      <c r="O24" s="5">
        <f>IF(ISBLANK(F24), "💡 Nhập đáp án vào Lần thử 1", IF(OR(G24="✅ Đúng", I24="✅ Đúng", K24="✅ Đúng"), "✨ Xuất sắc! Bạn đã làm đúng.", IF(NOT(ISBLANK(J24)), "💡 Gợi ý Tầng 3 (Chốt phương pháp): " &amp; "Chọn phương án đặt đúng chủ thể thực hiện hành động vào vị trí ngay sau dấu phẩy.", IF(NOT(ISBLANK(H24)), "💡 Gợi ý Tầng 2 (Manh mối cấu trúc &amp; Loại trừ): " &amp; "Chủ ngữ đứng ngay sau dấu phẩy bắt buộc phải là đối tượng thực hiện trực tiếp hành động đó.", "💡 Gợi ý Tầng 1 (Định hướng bối cảnh): " &amp; "Kiểm tra cụm mở đầu câu dạng `-ing` hoặc `-ed` đứng trước dấu phẩy."))))</f>
        <v/>
      </c>
      <c r="P24" s="5">
        <f>IF(OR(G24="✅ Đúng", I24="✅ Đúng", K24="✅ Đúng"), "Bổ ngữ chỉ thời đại/nguồn gốc phải đi liền với danh từ hổ phách/hóa thạch.", "🔒 Trả lời đúng để mở khóa Strategic Tip!")</f>
        <v/>
      </c>
    </row>
    <row r="25" ht="15.75" customHeight="1" s="19">
      <c r="A25" s="7" t="inlineStr">
        <is>
          <t>Q21</t>
        </is>
      </c>
      <c r="B25" s="5" t="inlineStr">
        <is>
          <t>Transitions &amp; Discourse Connectors (Contrast)</t>
        </is>
      </c>
      <c r="C25" s="5" t="inlineStr">
        <is>
          <t>In a 1993 study by Vales and Peek, the researchers used microhistological fecal analysis to determine the ratio of three plant subtypes (graminoids, forbs, and browse) within the diets of North American ungulates. The researchers did not perform this analysis on all such ungulates, ______ they focused exclusively on elk in Wyoming.</t>
        </is>
      </c>
      <c r="D25" s="5" t="inlineStr">
        <is>
          <t>Which choice completes the text with the most logical transition?</t>
        </is>
      </c>
      <c r="E25" s="5" t="inlineStr">
        <is>
          <t>A. for instance;
B. in other words;
C. regardless;
D. however;</t>
        </is>
      </c>
      <c r="F25" s="14" t="n"/>
      <c r="G25" s="7">
        <f>IF(ISBLANK(F25), "⏳ Chờ đáp án", IF(UPPER(TRIM(F25))="D", "✅ Đúng", "❌ Sai"))</f>
        <v/>
      </c>
      <c r="H25" s="14" t="n"/>
      <c r="I25" s="7">
        <f>IF(ISBLANK(H25), "", IF(UPPER(TRIM(H25))="D", "✅ Đúng", "❌ Sai"))</f>
        <v/>
      </c>
      <c r="J25" s="14" t="n"/>
      <c r="K25" s="7">
        <f>IF(ISBLANK(J25), "", IF(UPPER(TRIM(J25))="D", "✅ Đúng", "❌ Sai"))</f>
        <v/>
      </c>
      <c r="L25" s="7">
        <f>COUNTIF(G25, "❌ Sai") + COUNTIF(I25, "❌ Sai") + COUNTIF(K25, "❌ Sai")</f>
        <v/>
      </c>
      <c r="M25" s="7">
        <f>IF(ISBLANK(F25), "⏳ Chờ làm", IF(G25="✅ Đúng", "✅ Đúng ngay L1", IF(I25="✅ Đúng", "✅ Đúng ở L2", IF(K25="✅ Đúng", "✅ Đúng ở L3", "❌ Chưa đúng sau 3 lần"))))</f>
        <v/>
      </c>
      <c r="N25" s="13">
        <f>IF(G25="✅ Đúng", 1, IF(I25="✅ Đúng", 0.667, IF(K25="✅ Đúng", 0.333, 0)))</f>
        <v/>
      </c>
      <c r="O25" s="5">
        <f>IF(ISBLANK(F25), "💡 Nhập đáp án vào Lần thử 1", IF(OR(G25="✅ Đúng", I25="✅ Đúng", K25="✅ Đúng"), "✨ Xuất sắc! Bạn đã làm đúng.", IF(NOT(ISBLANK(J25)), "💡 Gợi ý Tầng 3 (Chốt phương pháp): " &amp; "Chọn từ nối chỉ sự tương phản hoặc nhượng bộ phù hợp.", IF(NOT(ISBLANK(H25)), "💡 Gợi ý Tầng 2 (Manh mối cấu trúc &amp; Loại trừ): " &amp; "Xác định xem câu sau có xu hướng đối lập hay làm trái ngược ý của câu trước hay không.", "💡 Gợi ý Tầng 1 (Định hướng bối cảnh): " &amp; "Phân tích mối quan hệ logic giữa hai câu văn về mặt ý nghĩa."))))</f>
        <v/>
      </c>
      <c r="P25" s="5">
        <f>IF(OR(G25="✅ Đúng", I25="✅ Đúng", K25="✅ Đúng"), "However = dùng để đối lập giữa giả định chung và phạm vi hẹp thực tế.", "🔒 Trả lời đúng để mở khóa Strategic Tip!")</f>
        <v/>
      </c>
    </row>
    <row r="26" ht="15.75" customHeight="1" s="19">
      <c r="A26" s="7" t="inlineStr">
        <is>
          <t>Q22</t>
        </is>
      </c>
      <c r="B26" s="5" t="inlineStr">
        <is>
          <t>Transitions &amp; Discourse Connectors (Cause &amp; Effect / Conclusion)</t>
        </is>
      </c>
      <c r="C26" s="5" t="inlineStr">
        <is>
          <t>The Hornbostel-Sachs system classifies musical instruments by how they produce sound. For example, an instrument that is popular in India called the saraswati veena produces sound primarily through the vibration of its strings. ______ under the Hornbostel-Sachs system, the saraswati veena is a chordophone.</t>
        </is>
      </c>
      <c r="D26" s="5" t="inlineStr">
        <is>
          <t>Which choice completes the text with the most logical transition?</t>
        </is>
      </c>
      <c r="E26" s="5" t="inlineStr">
        <is>
          <t>A. Furthermore,
B. Thus,
C. Similarly,
D. Instead,</t>
        </is>
      </c>
      <c r="F26" s="14" t="n"/>
      <c r="G26" s="7">
        <f>IF(ISBLANK(F26), "⏳ Chờ đáp án", IF(UPPER(TRIM(F26))="B", "✅ Đúng", "❌ Sai"))</f>
        <v/>
      </c>
      <c r="H26" s="14" t="n"/>
      <c r="I26" s="7">
        <f>IF(ISBLANK(H26), "", IF(UPPER(TRIM(H26))="B", "✅ Đúng", "❌ Sai"))</f>
        <v/>
      </c>
      <c r="J26" s="14" t="n"/>
      <c r="K26" s="7">
        <f>IF(ISBLANK(J26), "", IF(UPPER(TRIM(J26))="B", "✅ Đúng", "❌ Sai"))</f>
        <v/>
      </c>
      <c r="L26" s="7">
        <f>COUNTIF(G26, "❌ Sai") + COUNTIF(I26, "❌ Sai") + COUNTIF(K26, "❌ Sai")</f>
        <v/>
      </c>
      <c r="M26" s="7">
        <f>IF(ISBLANK(F26), "⏳ Chờ làm", IF(G26="✅ Đúng", "✅ Đúng ngay L1", IF(I26="✅ Đúng", "✅ Đúng ở L2", IF(K26="✅ Đúng", "✅ Đúng ở L3", "❌ Chưa đúng sau 3 lần"))))</f>
        <v/>
      </c>
      <c r="N26" s="13">
        <f>IF(G26="✅ Đúng", 1, IF(I26="✅ Đúng", 0.667, IF(K26="✅ Đúng", 0.333, 0)))</f>
        <v/>
      </c>
      <c r="O26" s="5">
        <f>IF(ISBLANK(F26), "💡 Nhập đáp án vào Lần thử 1", IF(OR(G26="✅ Đúng", I26="✅ Đúng", K26="✅ Đúng"), "✨ Xuất sắc! Bạn đã làm đúng.", IF(NOT(ISBLANK(J26)), "💡 Gợi ý Tầng 3 (Chốt phương pháp): " &amp; "Chọn từ nối chỉ ví dụ hoặc sự minh họa cụ thể.", IF(NOT(ISBLANK(H26)), "💡 Gợi ý Tầng 2 (Manh mối cấu trúc &amp; Loại trừ): " &amp; "Nếu câu thứ hai đưa ra một trường hợp cụ thể để minh họa, cần dùng từ nối minh họa.", "💡 Gợi ý Tầng 1 (Định hướng bối cảnh): " &amp; "Xác định vai trò của câu thứ hai đối với câu thứ nhất."))))</f>
        <v/>
      </c>
      <c r="P26" s="5">
        <f>IF(OR(G26="✅ Đúng", I26="✅ Đúng", K26="✅ Đúng"), "Thus = kết luận logic rút ra từ định nghĩa trước đó.", "🔒 Trả lời đúng để mở khóa Strategic Tip!")</f>
        <v/>
      </c>
    </row>
    <row r="27" ht="15.75" customHeight="1" s="19">
      <c r="A27" s="7" t="inlineStr">
        <is>
          <t>Q23</t>
        </is>
      </c>
      <c r="B27" s="5" t="inlineStr">
        <is>
          <t>Transitions &amp; Discourse Connectors (Exemplification)</t>
        </is>
      </c>
      <c r="C27" s="5" t="inlineStr">
        <is>
          <t>Generally, sleek vehicles are more aerodynamic than bulkier ones. The streamlined nose of the Airbus A350 XWB jet, ______ helps it glide through wind with relative ease, while a boxy pickup truck encounters more wind resistance, making it less aerodynamic.</t>
        </is>
      </c>
      <c r="D27" s="5" t="inlineStr">
        <is>
          <t>Which choice completes the text with the most logical transition?</t>
        </is>
      </c>
      <c r="E27" s="5" t="inlineStr">
        <is>
          <t>A. additionally,
B. however,
C. for example,
D. meanwhile,</t>
        </is>
      </c>
      <c r="F27" s="14" t="n"/>
      <c r="G27" s="7">
        <f>IF(ISBLANK(F27), "⏳ Chờ đáp án", IF(UPPER(TRIM(F27))="C", "✅ Đúng", "❌ Sai"))</f>
        <v/>
      </c>
      <c r="H27" s="14" t="n"/>
      <c r="I27" s="7">
        <f>IF(ISBLANK(H27), "", IF(UPPER(TRIM(H27))="C", "✅ Đúng", "❌ Sai"))</f>
        <v/>
      </c>
      <c r="J27" s="14" t="n"/>
      <c r="K27" s="7">
        <f>IF(ISBLANK(J27), "", IF(UPPER(TRIM(J27))="C", "✅ Đúng", "❌ Sai"))</f>
        <v/>
      </c>
      <c r="L27" s="7">
        <f>COUNTIF(G27, "❌ Sai") + COUNTIF(I27, "❌ Sai") + COUNTIF(K27, "❌ Sai")</f>
        <v/>
      </c>
      <c r="M27" s="7">
        <f>IF(ISBLANK(F27), "⏳ Chờ làm", IF(G27="✅ Đúng", "✅ Đúng ngay L1", IF(I27="✅ Đúng", "✅ Đúng ở L2", IF(K27="✅ Đúng", "✅ Đúng ở L3", "❌ Chưa đúng sau 3 lần"))))</f>
        <v/>
      </c>
      <c r="N27" s="13">
        <f>IF(G27="✅ Đúng", 1, IF(I27="✅ Đúng", 0.667, IF(K27="✅ Đúng", 0.333, 0)))</f>
        <v/>
      </c>
      <c r="O27" s="5">
        <f>IF(ISBLANK(F27), "💡 Nhập đáp án vào Lần thử 1", IF(OR(G27="✅ Đúng", I27="✅ Đúng", K27="✅ Đúng"), "✨ Xuất sắc! Bạn đã làm đúng.", IF(NOT(ISBLANK(J27)), "💡 Gợi ý Tầng 3 (Chốt phương pháp): " &amp; "Chọn từ nối phản ánh chính xác sự so sánh hoặc tương phản logic.", IF(NOT(ISBLANK(H27)), "💡 Gợi ý Tầng 2 (Manh mối cấu trúc &amp; Loại trừ): " &amp; "Xác định mối quan hệ tương đồng hay đối lập giữa hai phát biểu.", "💡 Gợi ý Tầng 1 (Định hướng bối cảnh): " &amp; "So sánh ý nghĩa giữa hai mệnh đề được nối với nhau."))))</f>
        <v/>
      </c>
      <c r="P27" s="5">
        <f>IF(OR(G27="✅ Đúng", I27="✅ Đúng", K27="✅ Đúng"), "Meanwhile / whereas = nối hai vế đối lập song song.", "🔒 Trả lời đúng để mở khóa Strategic Tip!")</f>
        <v/>
      </c>
    </row>
    <row r="28" ht="15.75" customHeight="1" s="19">
      <c r="A28" s="7" t="inlineStr">
        <is>
          <t>Q24</t>
        </is>
      </c>
      <c r="B28" s="5" t="inlineStr">
        <is>
          <t>Transitions &amp; Discourse Connectors (Emphasis / Reinforcement)</t>
        </is>
      </c>
      <c r="C28" s="5" t="inlineStr">
        <is>
          <t>On June 13, 1927, aviator Charles Lindbergh received a ticker-tape parade in New York City in recognition of his transatlantic flight. Of the 206 ticker-tape parades held between 1886 and 2022, a number were for achievements in aviation. ______ Lindbergh’s parade was just one of 16 honoring pilots.</t>
        </is>
      </c>
      <c r="D28" s="5" t="inlineStr">
        <is>
          <t>Which choice completes the text with the most logical transition?</t>
        </is>
      </c>
      <c r="E28" s="5" t="inlineStr">
        <is>
          <t>A. Therefore,
B. Indeed,
C. In addition,
D. Nevertheless,</t>
        </is>
      </c>
      <c r="F28" s="14" t="n"/>
      <c r="G28" s="7">
        <f>IF(ISBLANK(F28), "⏳ Chờ đáp án", IF(UPPER(TRIM(F28))="B", "✅ Đúng", "❌ Sai"))</f>
        <v/>
      </c>
      <c r="H28" s="14" t="n"/>
      <c r="I28" s="7">
        <f>IF(ISBLANK(H28), "", IF(UPPER(TRIM(H28))="B", "✅ Đúng", "❌ Sai"))</f>
        <v/>
      </c>
      <c r="J28" s="14" t="n"/>
      <c r="K28" s="7">
        <f>IF(ISBLANK(J28), "", IF(UPPER(TRIM(J28))="B", "✅ Đúng", "❌ Sai"))</f>
        <v/>
      </c>
      <c r="L28" s="7">
        <f>COUNTIF(G28, "❌ Sai") + COUNTIF(I28, "❌ Sai") + COUNTIF(K28, "❌ Sai")</f>
        <v/>
      </c>
      <c r="M28" s="7">
        <f>IF(ISBLANK(F28), "⏳ Chờ làm", IF(G28="✅ Đúng", "✅ Đúng ngay L1", IF(I28="✅ Đúng", "✅ Đúng ở L2", IF(K28="✅ Đúng", "✅ Đúng ở L3", "❌ Chưa đúng sau 3 lần"))))</f>
        <v/>
      </c>
      <c r="N28" s="13">
        <f>IF(G28="✅ Đúng", 1, IF(I28="✅ Đúng", 0.667, IF(K28="✅ Đúng", 0.333, 0)))</f>
        <v/>
      </c>
      <c r="O28" s="5">
        <f>IF(ISBLANK(F28), "💡 Nhập đáp án vào Lần thử 1", IF(OR(G28="✅ Đúng", I28="✅ Đúng", K28="✅ Đúng"), "✨ Xuất sắc! Bạn đã làm đúng.", IF(NOT(ISBLANK(J28)), "💡 Gợi ý Tầng 3 (Chốt phương pháp): " &amp; "Chọn từ nối mang nghĩa 'thật vậy' hoặc 'trên thực tế'.", IF(NOT(ISBLANK(H28)), "💡 Gợi ý Tầng 2 (Manh mối cấu trúc &amp; Loại trừ): " &amp; "Nếu câu thứ hai nhằm nhấn mạnh hoặc khẳng định mạnh mẽ hơn ý trước, chọn từ nối nhấn mạnh.", "💡 Gợi ý Tầng 1 (Định hướng bối cảnh): " &amp; "Phân tích sắc thái của phát biểu ở câu thứ hai."))))</f>
        <v/>
      </c>
      <c r="P28" s="5">
        <f>IF(OR(G28="✅ Đúng", I28="✅ Đúng", K28="✅ Đúng"), "Indeed = dùng để nhấn mạnh/xác nhận thông tin trước.", "🔒 Trả lời đúng để mở khóa Strategic Tip!")</f>
        <v/>
      </c>
    </row>
    <row r="29" ht="15.75" customHeight="1" s="19">
      <c r="A29" s="7" t="inlineStr">
        <is>
          <t>Q25</t>
        </is>
      </c>
      <c r="B29" s="5" t="inlineStr">
        <is>
          <t>Transitions &amp; Clause-Level Logic (Contrast &amp; Concession)</t>
        </is>
      </c>
      <c r="C29" s="5" t="inlineStr">
        <is>
          <t>Between February 1876 and September 1876, George Eliot’s novel Daniel Deronda was serialized in eight parts in Blackwood’s Magazine. Scholars typically regard the serial version of Eliot’s novel as less authoritative than the version later published in book form. ______ as scholar Philip Allingham notes, serialized texts were the versions in which the nineteenth-century readership first “saw itself and its world reflected, and to which it responded, often with great emotion.”</t>
        </is>
      </c>
      <c r="D29" s="5" t="inlineStr">
        <is>
          <t>Which choice completes the text with the most logical transition?</t>
        </is>
      </c>
      <c r="E29" s="5" t="inlineStr">
        <is>
          <t>A. Accordingly, they emphasize the appeal of the serial version for Victorian audiences;
B. Still, the serial version is important to an understanding of the novel’s historical context;
C. Consequently, the book version of the novel is often favored over the serial version;
D. However, others regard the serial version as a more faithful representation of Eliot’s intentions;</t>
        </is>
      </c>
      <c r="F29" s="14" t="n"/>
      <c r="G29" s="7">
        <f>IF(ISBLANK(F29), "⏳ Chờ đáp án", IF(UPPER(TRIM(F29))="B", "✅ Đúng", "❌ Sai"))</f>
        <v/>
      </c>
      <c r="H29" s="14" t="n"/>
      <c r="I29" s="7">
        <f>IF(ISBLANK(H29), "", IF(UPPER(TRIM(H29))="B", "✅ Đúng", "❌ Sai"))</f>
        <v/>
      </c>
      <c r="J29" s="14" t="n"/>
      <c r="K29" s="7">
        <f>IF(ISBLANK(J29), "", IF(UPPER(TRIM(J29))="B", "✅ Đúng", "❌ Sai"))</f>
        <v/>
      </c>
      <c r="L29" s="7">
        <f>COUNTIF(G29, "❌ Sai") + COUNTIF(I29, "❌ Sai") + COUNTIF(K29, "❌ Sai")</f>
        <v/>
      </c>
      <c r="M29" s="7">
        <f>IF(ISBLANK(F29), "⏳ Chờ làm", IF(G29="✅ Đúng", "✅ Đúng ngay L1", IF(I29="✅ Đúng", "✅ Đúng ở L2", IF(K29="✅ Đúng", "✅ Đúng ở L3", "❌ Chưa đúng sau 3 lần"))))</f>
        <v/>
      </c>
      <c r="N29" s="13">
        <f>IF(G29="✅ Đúng", 1, IF(I29="✅ Đúng", 0.667, IF(K29="✅ Đúng", 0.333, 0)))</f>
        <v/>
      </c>
      <c r="O29" s="5">
        <f>IF(ISBLANK(F29), "💡 Nhập đáp án vào Lần thử 1", IF(OR(G29="✅ Đúng", I29="✅ Đúng", K29="✅ Đúng"), "✨ Xuất sắc! Bạn đã làm đúng.", IF(NOT(ISBLANK(J29)), "💡 Gợi ý Tầng 3 (Chốt phương pháp): " &amp; "Chọn từ nối liên kết mượt mà và đúng sắc thái chuyển ý.", IF(NOT(ISBLANK(H29)), "💡 Gợi ý Tầng 2 (Manh mối cấu trúc &amp; Loại trừ): " &amp; "Xác định mối quan hệ giữa thông tin thực tế và nhận định được đưa ra.", "💡 Gợi ý Tầng 1 (Định hướng bối cảnh): " &amp; "Xem xét bối cảnh và sự chuyển ý giữa hai đoạn văn."))))</f>
        <v/>
      </c>
      <c r="P29" s="5">
        <f>IF(OR(G29="✅ Đúng", I29="✅ Đúng", K29="✅ Đúng"), "Still = tuy nhiên, chuyển hướng sang khía cạnh tích cực khác.", "🔒 Trả lời đúng để mở khóa Strategic Tip!")</f>
        <v/>
      </c>
    </row>
    <row r="30" ht="15.75" customHeight="1" s="19">
      <c r="A30" s="7" t="inlineStr">
        <is>
          <t>Q26</t>
        </is>
      </c>
      <c r="B30" s="5" t="inlineStr">
        <is>
          <t>Rhetorical Synthesis (Audience Adaptation / Introducing a Concept)</t>
        </is>
      </c>
      <c r="C30" s="5" t="inlineStr">
        <is>
          <t>•  The Highpointers Club is a hiking club.
•  One of the main goals among club members is to reach the highest points in all fifty US states.
•  Those who achieve this are called 50 Completers.
•  In Suk Han became a 50 Completer on November 15, 2013.
•  The highest point in Wisconsin is Timms Hill, at 1,951 ft.
•  The highest point in Wyoming is Gannett Peak, at 13,809 ft.</t>
        </is>
      </c>
      <c r="D30" s="5" t="inlineStr">
        <is>
          <t>Which choice most effectively uses information from the given sentences to explain the 50 Completers hiking challenge to a new audience?</t>
        </is>
      </c>
      <c r="E30" s="5" t="inlineStr">
        <is>
          <t>A. If you are looking for a new hiking challenge, consider joining the Highpointers Club, as did In Suk Han, a hiker who successfully reached the highest point in every US state.
B. Not until after you have reached the highest points in all fifty US states—including Timms Hill in Wisconsin and Gannett Peak in Wyoming—can you include yourself among the 50 Completers of the Highpointers Club.
C. On November 15, 2013, In Suk Han finally completed the feat of reaching the highest point in all fifty US states, including Timms Hill in Wisconsin and Gannett Peak in Wyoming.
D. Hikers aiming to count themselves among the 50 Completers must reach not only Wisconsin’s Timms Hill but also the even higher peak of Gannett Peak in Wyoming.</t>
        </is>
      </c>
      <c r="F30" s="14" t="n"/>
      <c r="G30" s="7">
        <f>IF(ISBLANK(F30), "⏳ Chờ đáp án", IF(UPPER(TRIM(F30))="B", "✅ Đúng", "❌ Sai"))</f>
        <v/>
      </c>
      <c r="H30" s="14" t="n"/>
      <c r="I30" s="7">
        <f>IF(ISBLANK(H30), "", IF(UPPER(TRIM(H30))="B", "✅ Đúng", "❌ Sai"))</f>
        <v/>
      </c>
      <c r="J30" s="14" t="n"/>
      <c r="K30" s="7">
        <f>IF(ISBLANK(J30), "", IF(UPPER(TRIM(J30))="B", "✅ Đúng", "❌ Sai"))</f>
        <v/>
      </c>
      <c r="L30" s="7">
        <f>COUNTIF(G30, "❌ Sai") + COUNTIF(I30, "❌ Sai") + COUNTIF(K30, "❌ Sai")</f>
        <v/>
      </c>
      <c r="M30" s="7">
        <f>IF(ISBLANK(F30), "⏳ Chờ làm", IF(G30="✅ Đúng", "✅ Đúng ngay L1", IF(I30="✅ Đúng", "✅ Đúng ở L2", IF(K30="✅ Đúng", "✅ Đúng ở L3", "❌ Chưa đúng sau 3 lần"))))</f>
        <v/>
      </c>
      <c r="N30" s="13">
        <f>IF(G30="✅ Đúng", 1, IF(I30="✅ Đúng", 0.667, IF(K30="✅ Đúng", 0.333, 0)))</f>
        <v/>
      </c>
      <c r="O30" s="5">
        <f>IF(ISBLANK(F30), "💡 Nhập đáp án vào Lần thử 1", IF(OR(G30="✅ Đúng", I30="✅ Đúng", K30="✅ Đúng"), "✨ Xuất sắc! Bạn đã làm đúng.", IF(NOT(ISBLANK(J30)), "💡 Gợi ý Tầng 3 (Chốt phương pháp): " &amp; "Chọn câu tổng hợp đáp ứng chính xác yêu cầu đề bài.", IF(NOT(ISBLANK(H30)), "💡 Gợi ý Tầng 2 (Manh mối cấu trúc &amp; Loại trừ): " &amp; "Lọc danh sách ghi chú để tìm thông tin trực tiếp liên quan đến mục tiêu.", "💡 Gợi ý Tầng 1 (Định hướng bối cảnh): " &amp; "Đọc kỹ yêu cầu đề bài để biết thông tin nào cần được làm nổi bật."))))</f>
        <v/>
      </c>
      <c r="P30" s="5">
        <f>IF(OR(G30="✅ Đúng", I30="✅ Đúng", K30="✅ Đúng"), "Giải thích thử thách = Nêu điều kiện hoàn thành + Ví dụ các đỉnh núi.", "🔒 Trả lời đúng để mở khóa Strategic Tip!")</f>
        <v/>
      </c>
    </row>
    <row r="31" ht="15.75" customHeight="1" s="19">
      <c r="A31" s="7" t="inlineStr">
        <is>
          <t>Q27</t>
        </is>
      </c>
      <c r="B31" s="5" t="inlineStr">
        <is>
          <t>Rhetorical Synthesis (Achieving a Specific Goal / Superiority Comparison)</t>
        </is>
      </c>
      <c r="C31" s="5" t="inlineStr">
        <is>
          <t>While researching a topic, a student has taken the following notes:
•  Enhanced rock weathering (ERW) is a method of spreading crushed basalt on farmland to capture carbon dioxide (CO2) and improve soil health.
•  ERW increases crop yields and removes harmful CO2 from the air.
•  ERW offers a low-cost, low-tech alternative to expensive, energy-intensive carbon capture methods.
•  The CO2 captured by ERW becomes stable bicarbonate in soil water, which eventually streams into the ocean to remain safely stored for hundreds of years.
•  ERW can improve rural economies by reducing farmers’ need for fertilizers and increasing their earnings from carbon credits.</t>
        </is>
      </c>
      <c r="D31" s="5" t="inlineStr">
        <is>
          <t>The student wants to explain why ERW is a superior method for capturing CO2. Which choice most effectively uses relevant information from the notes to accomplish this goal?</t>
        </is>
      </c>
      <c r="E31" s="5" t="inlineStr">
        <is>
          <t>A. ERW improves soil health and helps farmers increase their income from selling carbon credits.
B. ERW removes CO2 from the air in a way that is both low-cost and low-tech.
C. The CO2 captured by ERW becomes stable bicarbonate, which improves soil health by remaining in the ocean for hundreds of years.
D. ERW is a method of spreading crushed basalt on farmland to capture CO2, improving rural economies.</t>
        </is>
      </c>
      <c r="F31" s="14" t="n"/>
      <c r="G31" s="7">
        <f>IF(ISBLANK(F31), "⏳ Chờ đáp án", IF(UPPER(TRIM(F31))="B", "✅ Đúng", "❌ Sai"))</f>
        <v/>
      </c>
      <c r="H31" s="14" t="n"/>
      <c r="I31" s="7">
        <f>IF(ISBLANK(H31), "", IF(UPPER(TRIM(H31))="B", "✅ Đúng", "❌ Sai"))</f>
        <v/>
      </c>
      <c r="J31" s="14" t="n"/>
      <c r="K31" s="7">
        <f>IF(ISBLANK(J31), "", IF(UPPER(TRIM(J31))="B", "✅ Đúng", "❌ Sai"))</f>
        <v/>
      </c>
      <c r="L31" s="7">
        <f>COUNTIF(G31, "❌ Sai") + COUNTIF(I31, "❌ Sai") + COUNTIF(K31, "❌ Sai")</f>
        <v/>
      </c>
      <c r="M31" s="7">
        <f>IF(ISBLANK(F31), "⏳ Chờ làm", IF(G31="✅ Đúng", "✅ Đúng ngay L1", IF(I31="✅ Đúng", "✅ Đúng ở L2", IF(K31="✅ Đúng", "✅ Đúng ở L3", "❌ Chưa đúng sau 3 lần"))))</f>
        <v/>
      </c>
      <c r="N31" s="13">
        <f>IF(G31="✅ Đúng", 1, IF(I31="✅ Đúng", 0.667, IF(K31="✅ Đúng", 0.333, 0)))</f>
        <v/>
      </c>
      <c r="O31" s="5">
        <f>IF(ISBLANK(F31), "💡 Nhập đáp án vào Lần thử 1", IF(OR(G31="✅ Đúng", I31="✅ Đúng", K31="✅ Đúng"), "✨ Xuất sắc! Bạn đã làm đúng.", IF(NOT(ISBLANK(J31)), "💡 Gợi ý Tầng 3 (Chốt phương pháp): " &amp; "Chọn câu diễn đạt nêu bật sự đối lập hoặc tương đồng theo yêu cầu.", IF(NOT(ISBLANK(H31)), "💡 Gợi ý Tầng 2 (Manh mối cấu trúc &amp; Loại trừ): " &amp; "Chọn các ghi chú cung cấp dữ liệu đối sánh trực tiếp.", "💡 Gợi ý Tầng 1 (Định hướng bối cảnh): " &amp; "Xác định mục tiêu nhấn mạnh sự khác biệt hay điểm chung giữa hai đối tượng."))))</f>
        <v/>
      </c>
      <c r="P31" s="5">
        <f>IF(OR(G31="✅ Đúng", I31="✅ Đúng", K31="✅ Đúng"), "Chỉ ra điểm vượt trội trực tiếp: 'low-cost and low-tech alternative'.", "🔒 Trả lời đúng để mở khóa Strategic Tip!")</f>
        <v/>
      </c>
    </row>
    <row r="32" ht="15.75" customHeight="1" s="19"/>
    <row r="33" ht="15.75" customHeight="1" s="19"/>
    <row r="34" ht="15.75" customHeight="1" s="19"/>
    <row r="35" ht="15.75" customHeight="1" s="19"/>
    <row r="36" ht="15.75" customHeight="1" s="19"/>
    <row r="37" ht="15.75" customHeight="1" s="19"/>
    <row r="38" ht="15.75" customHeight="1" s="19"/>
    <row r="39" ht="15.75" customHeight="1" s="19"/>
    <row r="40" ht="15.75" customHeight="1" s="19"/>
    <row r="41" ht="15.75" customHeight="1" s="19"/>
    <row r="42" ht="15.75" customHeight="1" s="19"/>
    <row r="43" ht="15.75" customHeight="1" s="19"/>
    <row r="44" ht="15.75" customHeight="1" s="19"/>
    <row r="45" ht="15.75" customHeight="1" s="19"/>
    <row r="46" ht="15.75" customHeight="1" s="19"/>
    <row r="47" ht="15.75" customHeight="1" s="19"/>
    <row r="48" ht="15.75" customHeight="1" s="19"/>
    <row r="49" ht="15.75" customHeight="1" s="19"/>
    <row r="50" ht="15.75" customHeight="1" s="19"/>
    <row r="51" ht="15.75" customHeight="1" s="19"/>
    <row r="52" ht="15.75" customHeight="1" s="19"/>
    <row r="53" ht="15.75" customHeight="1" s="19"/>
    <row r="54" ht="15.75" customHeight="1" s="19"/>
    <row r="55" ht="15.75" customHeight="1" s="19"/>
    <row r="56" ht="15.75" customHeight="1" s="19"/>
    <row r="57" ht="15.75" customHeight="1" s="19"/>
    <row r="58" ht="15.75" customHeight="1" s="19"/>
    <row r="59" ht="15.75" customHeight="1" s="19"/>
    <row r="60" ht="15.75" customHeight="1" s="19"/>
    <row r="61" ht="15.75" customHeight="1" s="19"/>
    <row r="62" ht="15.75" customHeight="1" s="19"/>
    <row r="63" ht="15.75" customHeight="1" s="19"/>
    <row r="64" ht="15.75" customHeight="1" s="19"/>
    <row r="65" ht="15.75" customHeight="1" s="19"/>
    <row r="66" ht="15.75" customHeight="1" s="19"/>
    <row r="67" ht="15.75" customHeight="1" s="19"/>
    <row r="68" ht="15.75" customHeight="1" s="19"/>
    <row r="69" ht="15.75" customHeight="1" s="19"/>
    <row r="70" ht="15.75" customHeight="1" s="19"/>
    <row r="71" ht="15.75" customHeight="1" s="19"/>
    <row r="72" ht="15.75" customHeight="1" s="19"/>
    <row r="73" ht="15.75" customHeight="1" s="19"/>
    <row r="74" ht="15.75" customHeight="1" s="19"/>
    <row r="75" ht="15.75" customHeight="1" s="19"/>
    <row r="76" ht="15.75" customHeight="1" s="19"/>
    <row r="77" ht="15.75" customHeight="1" s="19"/>
    <row r="78" ht="15.75" customHeight="1" s="19"/>
    <row r="79" ht="15.75" customHeight="1" s="19"/>
    <row r="80" ht="15.75" customHeight="1" s="19"/>
    <row r="81" ht="15.75" customHeight="1" s="19"/>
    <row r="82" ht="15.75" customHeight="1" s="19"/>
    <row r="83" ht="15.75" customHeight="1" s="19"/>
    <row r="84" ht="15.75" customHeight="1" s="19"/>
    <row r="85" ht="15.75" customHeight="1" s="19"/>
    <row r="86" ht="15.75" customHeight="1" s="19"/>
    <row r="87" ht="15.75" customHeight="1" s="19"/>
    <row r="88" ht="15.75" customHeight="1" s="19"/>
    <row r="89" ht="15.75" customHeight="1" s="19"/>
    <row r="90" ht="15.75" customHeight="1" s="19"/>
    <row r="91" ht="15.75" customHeight="1" s="19"/>
    <row r="92" ht="15.75" customHeight="1" s="19"/>
    <row r="93" ht="15.75" customHeight="1" s="19"/>
    <row r="94" ht="15.75" customHeight="1" s="19"/>
    <row r="95" ht="15.75" customHeight="1" s="19"/>
    <row r="96" ht="15.75" customHeight="1" s="19"/>
    <row r="97" ht="15.75" customHeight="1" s="19"/>
    <row r="98" ht="15.75" customHeight="1" s="19"/>
    <row r="99" ht="15.75" customHeight="1" s="19"/>
    <row r="100" ht="15.75" customHeight="1" s="19"/>
    <row r="101" ht="15.75" customHeight="1" s="19"/>
    <row r="102" ht="15.75" customHeight="1" s="19"/>
    <row r="103" ht="15.75" customHeight="1" s="19"/>
    <row r="104" ht="15.75" customHeight="1" s="19"/>
    <row r="105" ht="15.75" customHeight="1" s="19"/>
    <row r="106" ht="15.75" customHeight="1" s="19"/>
    <row r="107" ht="15.75" customHeight="1" s="19"/>
    <row r="108" ht="15.75" customHeight="1" s="19"/>
    <row r="109" ht="15.75" customHeight="1" s="19"/>
    <row r="110" ht="15.75" customHeight="1" s="19"/>
    <row r="111" ht="15.75" customHeight="1" s="19"/>
    <row r="112" ht="15.75" customHeight="1" s="19"/>
    <row r="113" ht="15.75" customHeight="1" s="19"/>
    <row r="114" ht="15.75" customHeight="1" s="19"/>
    <row r="115" ht="15.75" customHeight="1" s="19"/>
    <row r="116" ht="15.75" customHeight="1" s="19"/>
    <row r="117" ht="15.75" customHeight="1" s="19"/>
    <row r="118" ht="15.75" customHeight="1" s="19"/>
    <row r="119" ht="15.75" customHeight="1" s="19"/>
    <row r="120" ht="15.75" customHeight="1" s="19"/>
    <row r="121" ht="15.75" customHeight="1" s="19"/>
    <row r="122" ht="15.75" customHeight="1" s="19"/>
    <row r="123" ht="15.75" customHeight="1" s="19"/>
    <row r="124" ht="15.75" customHeight="1" s="19"/>
    <row r="125" ht="15.75" customHeight="1" s="19"/>
    <row r="126" ht="15.75" customHeight="1" s="19"/>
    <row r="127" ht="15.75" customHeight="1" s="19"/>
    <row r="128" ht="15.75" customHeight="1" s="19"/>
    <row r="129" ht="15.75" customHeight="1" s="19"/>
    <row r="130" ht="15.75" customHeight="1" s="19"/>
    <row r="131" ht="15.75" customHeight="1" s="19"/>
    <row r="132" ht="15.75" customHeight="1" s="19"/>
    <row r="133" ht="15.75" customHeight="1" s="19"/>
    <row r="134" ht="15.75" customHeight="1" s="19"/>
    <row r="135" ht="15.75" customHeight="1" s="19"/>
    <row r="136" ht="15.75" customHeight="1" s="19"/>
    <row r="137" ht="15.75" customHeight="1" s="19"/>
    <row r="138" ht="15.75" customHeight="1" s="19"/>
    <row r="139" ht="15.75" customHeight="1" s="19"/>
    <row r="140" ht="15.75" customHeight="1" s="19"/>
    <row r="141" ht="15.75" customHeight="1" s="19"/>
    <row r="142" ht="15.75" customHeight="1" s="19"/>
    <row r="143" ht="15.75" customHeight="1" s="19"/>
    <row r="144" ht="15.75" customHeight="1" s="19"/>
    <row r="145" ht="15.75" customHeight="1" s="19"/>
    <row r="146" ht="15.75" customHeight="1" s="19"/>
    <row r="147" ht="15.75" customHeight="1" s="19"/>
    <row r="148" ht="15.75" customHeight="1" s="19"/>
    <row r="149" ht="15.75" customHeight="1" s="19"/>
    <row r="150" ht="15.75" customHeight="1" s="19"/>
    <row r="151" ht="15.75" customHeight="1" s="19"/>
    <row r="152" ht="15.75" customHeight="1" s="19"/>
    <row r="153" ht="15.75" customHeight="1" s="19"/>
    <row r="154" ht="15.75" customHeight="1" s="19"/>
    <row r="155" ht="15.75" customHeight="1" s="19"/>
    <row r="156" ht="15.75" customHeight="1" s="19"/>
    <row r="157" ht="15.75" customHeight="1" s="19"/>
    <row r="158" ht="15.75" customHeight="1" s="19"/>
    <row r="159" ht="15.75" customHeight="1" s="19"/>
    <row r="160" ht="15.75" customHeight="1" s="19"/>
    <row r="161" ht="15.75" customHeight="1" s="19"/>
    <row r="162" ht="15.75" customHeight="1" s="19"/>
    <row r="163" ht="15.75" customHeight="1" s="19"/>
    <row r="164" ht="15.75" customHeight="1" s="19"/>
    <row r="165" ht="15.75" customHeight="1" s="19"/>
    <row r="166" ht="15.75" customHeight="1" s="19"/>
    <row r="167" ht="15.75" customHeight="1" s="19"/>
    <row r="168" ht="15.75" customHeight="1" s="19"/>
    <row r="169" ht="15.75" customHeight="1" s="19"/>
    <row r="170" ht="15.75" customHeight="1" s="19"/>
    <row r="171" ht="15.75" customHeight="1" s="19"/>
    <row r="172" ht="15.75" customHeight="1" s="19"/>
    <row r="173" ht="15.75" customHeight="1" s="19"/>
    <row r="174" ht="15.75" customHeight="1" s="19"/>
    <row r="175" ht="15.75" customHeight="1" s="19"/>
    <row r="176" ht="15.75" customHeight="1" s="19"/>
    <row r="177" ht="15.75" customHeight="1" s="19"/>
    <row r="178" ht="15.75" customHeight="1" s="19"/>
    <row r="179" ht="15.75" customHeight="1" s="19"/>
    <row r="180" ht="15.75" customHeight="1" s="19"/>
    <row r="181" ht="15.75" customHeight="1" s="19"/>
    <row r="182" ht="15.75" customHeight="1" s="19"/>
    <row r="183" ht="15.75" customHeight="1" s="19"/>
    <row r="184" ht="15.75" customHeight="1" s="19"/>
    <row r="185" ht="15.75" customHeight="1" s="19"/>
    <row r="186" ht="15.75" customHeight="1" s="19"/>
    <row r="187" ht="15.75" customHeight="1" s="19"/>
    <row r="188" ht="15.75" customHeight="1" s="19"/>
    <row r="189" ht="15.75" customHeight="1" s="19"/>
    <row r="190" ht="15.75" customHeight="1" s="19"/>
    <row r="191" ht="15.75" customHeight="1" s="19"/>
    <row r="192" ht="15.75" customHeight="1" s="19"/>
    <row r="193" ht="15.75" customHeight="1" s="19"/>
    <row r="194" ht="15.75" customHeight="1" s="19"/>
    <row r="195" ht="15.75" customHeight="1" s="19"/>
    <row r="196" ht="15.75" customHeight="1" s="19"/>
    <row r="197" ht="15.75" customHeight="1" s="19"/>
    <row r="198" ht="15.75" customHeight="1" s="19"/>
    <row r="199" ht="15.75" customHeight="1" s="19"/>
    <row r="200" ht="15.75" customHeight="1" s="19"/>
    <row r="201" ht="15.75" customHeight="1" s="19"/>
    <row r="202" ht="15.75" customHeight="1" s="19"/>
    <row r="203" ht="15.75" customHeight="1" s="19"/>
    <row r="204" ht="15.75" customHeight="1" s="19"/>
    <row r="205" ht="15.75" customHeight="1" s="19"/>
    <row r="206" ht="15.75" customHeight="1" s="19"/>
    <row r="207" ht="15.75" customHeight="1" s="19"/>
    <row r="208" ht="15.75" customHeight="1" s="19"/>
    <row r="209" ht="15.75" customHeight="1" s="19"/>
    <row r="210" ht="15.75" customHeight="1" s="19"/>
    <row r="211" ht="15.75" customHeight="1" s="19"/>
    <row r="212" ht="15.75" customHeight="1" s="19"/>
    <row r="213" ht="15.75" customHeight="1" s="19"/>
    <row r="214" ht="15.75" customHeight="1" s="19"/>
    <row r="215" ht="15.75" customHeight="1" s="19"/>
    <row r="216" ht="15.75" customHeight="1" s="19"/>
    <row r="217" ht="15.75" customHeight="1" s="19"/>
    <row r="218" ht="15.75" customHeight="1" s="19"/>
    <row r="219" ht="15.75" customHeight="1" s="19"/>
    <row r="220" ht="15.75" customHeight="1" s="19"/>
    <row r="221" ht="15.75" customHeight="1" s="19"/>
    <row r="222" ht="15.75" customHeight="1" s="19"/>
    <row r="223" ht="15.75" customHeight="1" s="19"/>
    <row r="224" ht="15.75" customHeight="1" s="19"/>
    <row r="225" ht="15.75" customHeight="1" s="19"/>
    <row r="226" ht="15.75" customHeight="1" s="19"/>
    <row r="227" ht="15.75" customHeight="1" s="19"/>
    <row r="228" ht="15.75" customHeight="1" s="19"/>
    <row r="229" ht="15.75" customHeight="1" s="19"/>
    <row r="230" ht="15.75" customHeight="1" s="19"/>
    <row r="231" ht="15.75" customHeight="1" s="19"/>
    <row r="232" ht="15.75" customHeight="1" s="19"/>
    <row r="233" ht="15.75" customHeight="1" s="19"/>
    <row r="234" ht="15.75" customHeight="1" s="19"/>
    <row r="235" ht="15.75" customHeight="1" s="19"/>
    <row r="236" ht="15.75" customHeight="1" s="19"/>
    <row r="237" ht="15.75" customHeight="1" s="19"/>
    <row r="238" ht="15.75" customHeight="1" s="19"/>
    <row r="239" ht="15.75" customHeight="1" s="19"/>
    <row r="240" ht="15.75" customHeight="1" s="19"/>
    <row r="241" ht="15.75" customHeight="1" s="19"/>
    <row r="242" ht="15.75" customHeight="1" s="19"/>
    <row r="243" ht="15.75" customHeight="1" s="19"/>
    <row r="244" ht="15.75" customHeight="1" s="19"/>
    <row r="245" ht="15.75" customHeight="1" s="19"/>
    <row r="246" ht="15.75" customHeight="1" s="19"/>
    <row r="247" ht="15.75" customHeight="1" s="19"/>
    <row r="248" ht="15.75" customHeight="1" s="19"/>
    <row r="249" ht="15.75" customHeight="1" s="19"/>
    <row r="250" ht="15.75" customHeight="1" s="19"/>
    <row r="251" ht="15.75" customHeight="1" s="19"/>
    <row r="252" ht="15.75" customHeight="1" s="19"/>
    <row r="253" ht="15.75" customHeight="1" s="19"/>
    <row r="254" ht="15.75" customHeight="1" s="19"/>
    <row r="255" ht="15.75" customHeight="1" s="19"/>
    <row r="256" ht="15.75" customHeight="1" s="19"/>
    <row r="257" ht="15.75" customHeight="1" s="19"/>
    <row r="258" ht="15.75" customHeight="1" s="19"/>
    <row r="259" ht="15.75" customHeight="1" s="19"/>
    <row r="260" ht="15.75" customHeight="1" s="19"/>
    <row r="261" ht="15.75" customHeight="1" s="19"/>
    <row r="262" ht="15.75" customHeight="1" s="19"/>
    <row r="263" ht="15.75" customHeight="1" s="19"/>
    <row r="264" ht="15.75" customHeight="1" s="19"/>
    <row r="265" ht="15.75" customHeight="1" s="19"/>
    <row r="266" ht="15.75" customHeight="1" s="19"/>
    <row r="267" ht="15.75" customHeight="1" s="19"/>
    <row r="268" ht="15.75" customHeight="1" s="19"/>
    <row r="269" ht="15.75" customHeight="1" s="19"/>
    <row r="270" ht="15.75" customHeight="1" s="19"/>
    <row r="271" ht="15.75" customHeight="1" s="19"/>
    <row r="272" ht="15.75" customHeight="1" s="19"/>
    <row r="273" ht="15.75" customHeight="1" s="19"/>
    <row r="274" ht="15.75" customHeight="1" s="19"/>
    <row r="275" ht="15.75" customHeight="1" s="19"/>
    <row r="276" ht="15.75" customHeight="1" s="19"/>
    <row r="277" ht="15.75" customHeight="1" s="19"/>
    <row r="278" ht="15.75" customHeight="1" s="19"/>
    <row r="279" ht="15.75" customHeight="1" s="19"/>
    <row r="280" ht="15.75" customHeight="1" s="19"/>
    <row r="281" ht="15.75" customHeight="1" s="19"/>
    <row r="282" ht="15.75" customHeight="1" s="19"/>
    <row r="283" ht="15.75" customHeight="1" s="19"/>
    <row r="284" ht="15.75" customHeight="1" s="19"/>
    <row r="285" ht="15.75" customHeight="1" s="19"/>
    <row r="286" ht="15.75" customHeight="1" s="19"/>
    <row r="287" ht="15.75" customHeight="1" s="19"/>
    <row r="288" ht="15.75" customHeight="1" s="19"/>
    <row r="289" ht="15.75" customHeight="1" s="19"/>
    <row r="290" ht="15.75" customHeight="1" s="19"/>
    <row r="291" ht="15.75" customHeight="1" s="19"/>
    <row r="292" ht="15.75" customHeight="1" s="19"/>
    <row r="293" ht="15.75" customHeight="1" s="19"/>
    <row r="294" ht="15.75" customHeight="1" s="19"/>
    <row r="295" ht="15.75" customHeight="1" s="19"/>
    <row r="296" ht="15.75" customHeight="1" s="19"/>
    <row r="297" ht="15.75" customHeight="1" s="19"/>
    <row r="298" ht="15.75" customHeight="1" s="19"/>
    <row r="299" ht="15.75" customHeight="1" s="19"/>
    <row r="300" ht="15.75" customHeight="1" s="19"/>
    <row r="301" ht="15.75" customHeight="1" s="19"/>
    <row r="302" ht="15.75" customHeight="1" s="19"/>
    <row r="303" ht="15.75" customHeight="1" s="19"/>
    <row r="304" ht="15.75" customHeight="1" s="19"/>
    <row r="305" ht="15.75" customHeight="1" s="19"/>
    <row r="306" ht="15.75" customHeight="1" s="19"/>
    <row r="307" ht="15.75" customHeight="1" s="19"/>
    <row r="308" ht="15.75" customHeight="1" s="19"/>
    <row r="309" ht="15.75" customHeight="1" s="19"/>
    <row r="310" ht="15.75" customHeight="1" s="19"/>
    <row r="311" ht="15.75" customHeight="1" s="19"/>
    <row r="312" ht="15.75" customHeight="1" s="19"/>
    <row r="313" ht="15.75" customHeight="1" s="19"/>
    <row r="314" ht="15.75" customHeight="1" s="19"/>
    <row r="315" ht="15.75" customHeight="1" s="19"/>
    <row r="316" ht="15.75" customHeight="1" s="19"/>
    <row r="317" ht="15.75" customHeight="1" s="19"/>
    <row r="318" ht="15.75" customHeight="1" s="19"/>
    <row r="319" ht="15.75" customHeight="1" s="19"/>
    <row r="320" ht="15.75" customHeight="1" s="19"/>
    <row r="321" ht="15.75" customHeight="1" s="19"/>
    <row r="322" ht="15.75" customHeight="1" s="19"/>
    <row r="323" ht="15.75" customHeight="1" s="19"/>
    <row r="324" ht="15.75" customHeight="1" s="19"/>
    <row r="325" ht="15.75" customHeight="1" s="19"/>
    <row r="326" ht="15.75" customHeight="1" s="19"/>
    <row r="327" ht="15.75" customHeight="1" s="19"/>
    <row r="328" ht="15.75" customHeight="1" s="19"/>
    <row r="329" ht="15.75" customHeight="1" s="19"/>
    <row r="330" ht="15.75" customHeight="1" s="19"/>
    <row r="331" ht="15.75" customHeight="1" s="19"/>
    <row r="332" ht="15.75" customHeight="1" s="19"/>
    <row r="333" ht="15.75" customHeight="1" s="19"/>
    <row r="334" ht="15.75" customHeight="1" s="19"/>
    <row r="335" ht="15.75" customHeight="1" s="19"/>
    <row r="336" ht="15.75" customHeight="1" s="19"/>
    <row r="337" ht="15.75" customHeight="1" s="19"/>
    <row r="338" ht="15.75" customHeight="1" s="19"/>
    <row r="339" ht="15.75" customHeight="1" s="19"/>
    <row r="340" ht="15.75" customHeight="1" s="19"/>
    <row r="341" ht="15.75" customHeight="1" s="19"/>
    <row r="342" ht="15.75" customHeight="1" s="19"/>
    <row r="343" ht="15.75" customHeight="1" s="19"/>
    <row r="344" ht="15.75" customHeight="1" s="19"/>
    <row r="345" ht="15.75" customHeight="1" s="19"/>
    <row r="346" ht="15.75" customHeight="1" s="19"/>
    <row r="347" ht="15.75" customHeight="1" s="19"/>
    <row r="348" ht="15.75" customHeight="1" s="19"/>
    <row r="349" ht="15.75" customHeight="1" s="19"/>
    <row r="350" ht="15.75" customHeight="1" s="19"/>
    <row r="351" ht="15.75" customHeight="1" s="19"/>
    <row r="352" ht="15.75" customHeight="1" s="19"/>
    <row r="353" ht="15.75" customHeight="1" s="19"/>
    <row r="354" ht="15.75" customHeight="1" s="19"/>
    <row r="355" ht="15.75" customHeight="1" s="19"/>
    <row r="356" ht="15.75" customHeight="1" s="19"/>
    <row r="357" ht="15.75" customHeight="1" s="19"/>
    <row r="358" ht="15.75" customHeight="1" s="19"/>
    <row r="359" ht="15.75" customHeight="1" s="19"/>
    <row r="360" ht="15.75" customHeight="1" s="19"/>
    <row r="361" ht="15.75" customHeight="1" s="19"/>
    <row r="362" ht="15.75" customHeight="1" s="19"/>
    <row r="363" ht="15.75" customHeight="1" s="19"/>
    <row r="364" ht="15.75" customHeight="1" s="19"/>
    <row r="365" ht="15.75" customHeight="1" s="19"/>
    <row r="366" ht="15.75" customHeight="1" s="19"/>
    <row r="367" ht="15.75" customHeight="1" s="19"/>
    <row r="368" ht="15.75" customHeight="1" s="19"/>
    <row r="369" ht="15.75" customHeight="1" s="19"/>
    <row r="370" ht="15.75" customHeight="1" s="19"/>
    <row r="371" ht="15.75" customHeight="1" s="19"/>
    <row r="372" ht="15.75" customHeight="1" s="19"/>
    <row r="373" ht="15.75" customHeight="1" s="19"/>
    <row r="374" ht="15.75" customHeight="1" s="19"/>
    <row r="375" ht="15.75" customHeight="1" s="19"/>
    <row r="376" ht="15.75" customHeight="1" s="19"/>
    <row r="377" ht="15.75" customHeight="1" s="19"/>
    <row r="378" ht="15.75" customHeight="1" s="19"/>
    <row r="379" ht="15.75" customHeight="1" s="19"/>
    <row r="380" ht="15.75" customHeight="1" s="19"/>
    <row r="381" ht="15.75" customHeight="1" s="19"/>
    <row r="382" ht="15.75" customHeight="1" s="19"/>
    <row r="383" ht="15.75" customHeight="1" s="19"/>
    <row r="384" ht="15.75" customHeight="1" s="19"/>
    <row r="385" ht="15.75" customHeight="1" s="19"/>
    <row r="386" ht="15.75" customHeight="1" s="19"/>
    <row r="387" ht="15.75" customHeight="1" s="19"/>
    <row r="388" ht="15.75" customHeight="1" s="19"/>
    <row r="389" ht="15.75" customHeight="1" s="19"/>
    <row r="390" ht="15.75" customHeight="1" s="19"/>
    <row r="391" ht="15.75" customHeight="1" s="19"/>
    <row r="392" ht="15.75" customHeight="1" s="19"/>
    <row r="393" ht="15.75" customHeight="1" s="19"/>
    <row r="394" ht="15.75" customHeight="1" s="19"/>
    <row r="395" ht="15.75" customHeight="1" s="19"/>
    <row r="396" ht="15.75" customHeight="1" s="19"/>
    <row r="397" ht="15.75" customHeight="1" s="19"/>
    <row r="398" ht="15.75" customHeight="1" s="19"/>
    <row r="399" ht="15.75" customHeight="1" s="19"/>
    <row r="400" ht="15.75" customHeight="1" s="19"/>
    <row r="401" ht="15.75" customHeight="1" s="19"/>
    <row r="402" ht="15.75" customHeight="1" s="19"/>
    <row r="403" ht="15.75" customHeight="1" s="19"/>
    <row r="404" ht="15.75" customHeight="1" s="19"/>
    <row r="405" ht="15.75" customHeight="1" s="19"/>
    <row r="406" ht="15.75" customHeight="1" s="19"/>
    <row r="407" ht="15.75" customHeight="1" s="19"/>
    <row r="408" ht="15.75" customHeight="1" s="19"/>
    <row r="409" ht="15.75" customHeight="1" s="19"/>
    <row r="410" ht="15.75" customHeight="1" s="19"/>
    <row r="411" ht="15.75" customHeight="1" s="19"/>
    <row r="412" ht="15.75" customHeight="1" s="19"/>
    <row r="413" ht="15.75" customHeight="1" s="19"/>
    <row r="414" ht="15.75" customHeight="1" s="19"/>
    <row r="415" ht="15.75" customHeight="1" s="19"/>
    <row r="416" ht="15.75" customHeight="1" s="19"/>
    <row r="417" ht="15.75" customHeight="1" s="19"/>
    <row r="418" ht="15.75" customHeight="1" s="19"/>
    <row r="419" ht="15.75" customHeight="1" s="19"/>
    <row r="420" ht="15.75" customHeight="1" s="19"/>
    <row r="421" ht="15.75" customHeight="1" s="19"/>
    <row r="422" ht="15.75" customHeight="1" s="19"/>
    <row r="423" ht="15.75" customHeight="1" s="19"/>
    <row r="424" ht="15.75" customHeight="1" s="19"/>
    <row r="425" ht="15.75" customHeight="1" s="19"/>
    <row r="426" ht="15.75" customHeight="1" s="19"/>
    <row r="427" ht="15.75" customHeight="1" s="19"/>
    <row r="428" ht="15.75" customHeight="1" s="19"/>
    <row r="429" ht="15.75" customHeight="1" s="19"/>
    <row r="430" ht="15.75" customHeight="1" s="19"/>
    <row r="431" ht="15.75" customHeight="1" s="19"/>
    <row r="432" ht="15.75" customHeight="1" s="19"/>
    <row r="433" ht="15.75" customHeight="1" s="19"/>
    <row r="434" ht="15.75" customHeight="1" s="19"/>
    <row r="435" ht="15.75" customHeight="1" s="19"/>
    <row r="436" ht="15.75" customHeight="1" s="19"/>
    <row r="437" ht="15.75" customHeight="1" s="19"/>
    <row r="438" ht="15.75" customHeight="1" s="19"/>
    <row r="439" ht="15.75" customHeight="1" s="19"/>
    <row r="440" ht="15.75" customHeight="1" s="19"/>
    <row r="441" ht="15.75" customHeight="1" s="19"/>
    <row r="442" ht="15.75" customHeight="1" s="19"/>
    <row r="443" ht="15.75" customHeight="1" s="19"/>
    <row r="444" ht="15.75" customHeight="1" s="19"/>
    <row r="445" ht="15.75" customHeight="1" s="19"/>
    <row r="446" ht="15.75" customHeight="1" s="19"/>
    <row r="447" ht="15.75" customHeight="1" s="19"/>
    <row r="448" ht="15.75" customHeight="1" s="19"/>
    <row r="449" ht="15.75" customHeight="1" s="19"/>
    <row r="450" ht="15.75" customHeight="1" s="19"/>
    <row r="451" ht="15.75" customHeight="1" s="19"/>
    <row r="452" ht="15.75" customHeight="1" s="19"/>
    <row r="453" ht="15.75" customHeight="1" s="19"/>
    <row r="454" ht="15.75" customHeight="1" s="19"/>
    <row r="455" ht="15.75" customHeight="1" s="19"/>
    <row r="456" ht="15.75" customHeight="1" s="19"/>
    <row r="457" ht="15.75" customHeight="1" s="19"/>
    <row r="458" ht="15.75" customHeight="1" s="19"/>
    <row r="459" ht="15.75" customHeight="1" s="19"/>
    <row r="460" ht="15.75" customHeight="1" s="19"/>
    <row r="461" ht="15.75" customHeight="1" s="19"/>
    <row r="462" ht="15.75" customHeight="1" s="19"/>
    <row r="463" ht="15.75" customHeight="1" s="19"/>
    <row r="464" ht="15.75" customHeight="1" s="19"/>
    <row r="465" ht="15.75" customHeight="1" s="19"/>
    <row r="466" ht="15.75" customHeight="1" s="19"/>
    <row r="467" ht="15.75" customHeight="1" s="19"/>
    <row r="468" ht="15.75" customHeight="1" s="19"/>
    <row r="469" ht="15.75" customHeight="1" s="19"/>
    <row r="470" ht="15.75" customHeight="1" s="19"/>
    <row r="471" ht="15.75" customHeight="1" s="19"/>
    <row r="472" ht="15.75" customHeight="1" s="19"/>
    <row r="473" ht="15.75" customHeight="1" s="19"/>
    <row r="474" ht="15.75" customHeight="1" s="19"/>
    <row r="475" ht="15.75" customHeight="1" s="19"/>
    <row r="476" ht="15.75" customHeight="1" s="19"/>
    <row r="477" ht="15.75" customHeight="1" s="19"/>
    <row r="478" ht="15.75" customHeight="1" s="19"/>
    <row r="479" ht="15.75" customHeight="1" s="19"/>
    <row r="480" ht="15.75" customHeight="1" s="19"/>
    <row r="481" ht="15.75" customHeight="1" s="19"/>
    <row r="482" ht="15.75" customHeight="1" s="19"/>
    <row r="483" ht="15.75" customHeight="1" s="19"/>
    <row r="484" ht="15.75" customHeight="1" s="19"/>
    <row r="485" ht="15.75" customHeight="1" s="19"/>
    <row r="486" ht="15.75" customHeight="1" s="19"/>
    <row r="487" ht="15.75" customHeight="1" s="19"/>
    <row r="488" ht="15.75" customHeight="1" s="19"/>
    <row r="489" ht="15.75" customHeight="1" s="19"/>
    <row r="490" ht="15.75" customHeight="1" s="19"/>
    <row r="491" ht="15.75" customHeight="1" s="19"/>
    <row r="492" ht="15.75" customHeight="1" s="19"/>
    <row r="493" ht="15.75" customHeight="1" s="19"/>
    <row r="494" ht="15.75" customHeight="1" s="19"/>
    <row r="495" ht="15.75" customHeight="1" s="19"/>
    <row r="496" ht="15.75" customHeight="1" s="19"/>
    <row r="497" ht="15.75" customHeight="1" s="19"/>
    <row r="498" ht="15.75" customHeight="1" s="19"/>
    <row r="499" ht="15.75" customHeight="1" s="19"/>
    <row r="500" ht="15.75" customHeight="1" s="19"/>
    <row r="501" ht="15.75" customHeight="1" s="19"/>
    <row r="502" ht="15.75" customHeight="1" s="19"/>
    <row r="503" ht="15.75" customHeight="1" s="19"/>
    <row r="504" ht="15.75" customHeight="1" s="19"/>
    <row r="505" ht="15.75" customHeight="1" s="19"/>
    <row r="506" ht="15.75" customHeight="1" s="19"/>
    <row r="507" ht="15.75" customHeight="1" s="19"/>
    <row r="508" ht="15.75" customHeight="1" s="19"/>
    <row r="509" ht="15.75" customHeight="1" s="19"/>
    <row r="510" ht="15.75" customHeight="1" s="19"/>
    <row r="511" ht="15.75" customHeight="1" s="19"/>
    <row r="512" ht="15.75" customHeight="1" s="19"/>
    <row r="513" ht="15.75" customHeight="1" s="19"/>
    <row r="514" ht="15.75" customHeight="1" s="19"/>
    <row r="515" ht="15.75" customHeight="1" s="19"/>
    <row r="516" ht="15.75" customHeight="1" s="19"/>
    <row r="517" ht="15.75" customHeight="1" s="19"/>
    <row r="518" ht="15.75" customHeight="1" s="19"/>
    <row r="519" ht="15.75" customHeight="1" s="19"/>
    <row r="520" ht="15.75" customHeight="1" s="19"/>
    <row r="521" ht="15.75" customHeight="1" s="19"/>
    <row r="522" ht="15.75" customHeight="1" s="19"/>
    <row r="523" ht="15.75" customHeight="1" s="19"/>
    <row r="524" ht="15.75" customHeight="1" s="19"/>
    <row r="525" ht="15.75" customHeight="1" s="19"/>
    <row r="526" ht="15.75" customHeight="1" s="19"/>
    <row r="527" ht="15.75" customHeight="1" s="19"/>
    <row r="528" ht="15.75" customHeight="1" s="19"/>
    <row r="529" ht="15.75" customHeight="1" s="19"/>
    <row r="530" ht="15.75" customHeight="1" s="19"/>
    <row r="531" ht="15.75" customHeight="1" s="19"/>
    <row r="532" ht="15.75" customHeight="1" s="19"/>
    <row r="533" ht="15.75" customHeight="1" s="19"/>
    <row r="534" ht="15.75" customHeight="1" s="19"/>
    <row r="535" ht="15.75" customHeight="1" s="19"/>
    <row r="536" ht="15.75" customHeight="1" s="19"/>
    <row r="537" ht="15.75" customHeight="1" s="19"/>
    <row r="538" ht="15.75" customHeight="1" s="19"/>
    <row r="539" ht="15.75" customHeight="1" s="19"/>
    <row r="540" ht="15.75" customHeight="1" s="19"/>
    <row r="541" ht="15.75" customHeight="1" s="19"/>
    <row r="542" ht="15.75" customHeight="1" s="19"/>
    <row r="543" ht="15.75" customHeight="1" s="19"/>
    <row r="544" ht="15.75" customHeight="1" s="19"/>
    <row r="545" ht="15.75" customHeight="1" s="19"/>
    <row r="546" ht="15.75" customHeight="1" s="19"/>
    <row r="547" ht="15.75" customHeight="1" s="19"/>
    <row r="548" ht="15.75" customHeight="1" s="19"/>
    <row r="549" ht="15.75" customHeight="1" s="19"/>
    <row r="550" ht="15.75" customHeight="1" s="19"/>
    <row r="551" ht="15.75" customHeight="1" s="19"/>
    <row r="552" ht="15.75" customHeight="1" s="19"/>
    <row r="553" ht="15.75" customHeight="1" s="19"/>
    <row r="554" ht="15.75" customHeight="1" s="19"/>
    <row r="555" ht="15.75" customHeight="1" s="19"/>
    <row r="556" ht="15.75" customHeight="1" s="19"/>
    <row r="557" ht="15.75" customHeight="1" s="19"/>
    <row r="558" ht="15.75" customHeight="1" s="19"/>
    <row r="559" ht="15.75" customHeight="1" s="19"/>
    <row r="560" ht="15.75" customHeight="1" s="19"/>
    <row r="561" ht="15.75" customHeight="1" s="19"/>
    <row r="562" ht="15.75" customHeight="1" s="19"/>
    <row r="563" ht="15.75" customHeight="1" s="19"/>
    <row r="564" ht="15.75" customHeight="1" s="19"/>
    <row r="565" ht="15.75" customHeight="1" s="19"/>
    <row r="566" ht="15.75" customHeight="1" s="19"/>
    <row r="567" ht="15.75" customHeight="1" s="19"/>
    <row r="568" ht="15.75" customHeight="1" s="19"/>
    <row r="569" ht="15.75" customHeight="1" s="19"/>
    <row r="570" ht="15.75" customHeight="1" s="19"/>
    <row r="571" ht="15.75" customHeight="1" s="19"/>
    <row r="572" ht="15.75" customHeight="1" s="19"/>
    <row r="573" ht="15.75" customHeight="1" s="19"/>
    <row r="574" ht="15.75" customHeight="1" s="19"/>
    <row r="575" ht="15.75" customHeight="1" s="19"/>
    <row r="576" ht="15.75" customHeight="1" s="19"/>
    <row r="577" ht="15.75" customHeight="1" s="19"/>
    <row r="578" ht="15.75" customHeight="1" s="19"/>
    <row r="579" ht="15.75" customHeight="1" s="19"/>
    <row r="580" ht="15.75" customHeight="1" s="19"/>
    <row r="581" ht="15.75" customHeight="1" s="19"/>
    <row r="582" ht="15.75" customHeight="1" s="19"/>
    <row r="583" ht="15.75" customHeight="1" s="19"/>
    <row r="584" ht="15.75" customHeight="1" s="19"/>
    <row r="585" ht="15.75" customHeight="1" s="19"/>
    <row r="586" ht="15.75" customHeight="1" s="19"/>
    <row r="587" ht="15.75" customHeight="1" s="19"/>
    <row r="588" ht="15.75" customHeight="1" s="19"/>
    <row r="589" ht="15.75" customHeight="1" s="19"/>
    <row r="590" ht="15.75" customHeight="1" s="19"/>
    <row r="591" ht="15.75" customHeight="1" s="19"/>
    <row r="592" ht="15.75" customHeight="1" s="19"/>
    <row r="593" ht="15.75" customHeight="1" s="19"/>
    <row r="594" ht="15.75" customHeight="1" s="19"/>
    <row r="595" ht="15.75" customHeight="1" s="19"/>
    <row r="596" ht="15.75" customHeight="1" s="19"/>
    <row r="597" ht="15.75" customHeight="1" s="19"/>
    <row r="598" ht="15.75" customHeight="1" s="19"/>
    <row r="599" ht="15.75" customHeight="1" s="19"/>
    <row r="600" ht="15.75" customHeight="1" s="19"/>
    <row r="601" ht="15.75" customHeight="1" s="19"/>
    <row r="602" ht="15.75" customHeight="1" s="19"/>
    <row r="603" ht="15.75" customHeight="1" s="19"/>
    <row r="604" ht="15.75" customHeight="1" s="19"/>
    <row r="605" ht="15.75" customHeight="1" s="19"/>
    <row r="606" ht="15.75" customHeight="1" s="19"/>
    <row r="607" ht="15.75" customHeight="1" s="19"/>
    <row r="608" ht="15.75" customHeight="1" s="19"/>
    <row r="609" ht="15.75" customHeight="1" s="19"/>
    <row r="610" ht="15.75" customHeight="1" s="19"/>
    <row r="611" ht="15.75" customHeight="1" s="19"/>
    <row r="612" ht="15.75" customHeight="1" s="19"/>
    <row r="613" ht="15.75" customHeight="1" s="19"/>
    <row r="614" ht="15.75" customHeight="1" s="19"/>
    <row r="615" ht="15.75" customHeight="1" s="19"/>
    <row r="616" ht="15.75" customHeight="1" s="19"/>
    <row r="617" ht="15.75" customHeight="1" s="19"/>
    <row r="618" ht="15.75" customHeight="1" s="19"/>
    <row r="619" ht="15.75" customHeight="1" s="19"/>
    <row r="620" ht="15.75" customHeight="1" s="19"/>
    <row r="621" ht="15.75" customHeight="1" s="19"/>
    <row r="622" ht="15.75" customHeight="1" s="19"/>
    <row r="623" ht="15.75" customHeight="1" s="19"/>
    <row r="624" ht="15.75" customHeight="1" s="19"/>
    <row r="625" ht="15.75" customHeight="1" s="19"/>
    <row r="626" ht="15.75" customHeight="1" s="19"/>
    <row r="627" ht="15.75" customHeight="1" s="19"/>
    <row r="628" ht="15.75" customHeight="1" s="19"/>
    <row r="629" ht="15.75" customHeight="1" s="19"/>
    <row r="630" ht="15.75" customHeight="1" s="19"/>
    <row r="631" ht="15.75" customHeight="1" s="19"/>
    <row r="632" ht="15.75" customHeight="1" s="19"/>
    <row r="633" ht="15.75" customHeight="1" s="19"/>
    <row r="634" ht="15.75" customHeight="1" s="19"/>
    <row r="635" ht="15.75" customHeight="1" s="19"/>
    <row r="636" ht="15.75" customHeight="1" s="19"/>
    <row r="637" ht="15.75" customHeight="1" s="19"/>
    <row r="638" ht="15.75" customHeight="1" s="19"/>
    <row r="639" ht="15.75" customHeight="1" s="19"/>
    <row r="640" ht="15.75" customHeight="1" s="19"/>
    <row r="641" ht="15.75" customHeight="1" s="19"/>
    <row r="642" ht="15.75" customHeight="1" s="19"/>
    <row r="643" ht="15.75" customHeight="1" s="19"/>
    <row r="644" ht="15.75" customHeight="1" s="19"/>
    <row r="645" ht="15.75" customHeight="1" s="19"/>
    <row r="646" ht="15.75" customHeight="1" s="19"/>
    <row r="647" ht="15.75" customHeight="1" s="19"/>
    <row r="648" ht="15.75" customHeight="1" s="19"/>
    <row r="649" ht="15.75" customHeight="1" s="19"/>
    <row r="650" ht="15.75" customHeight="1" s="19"/>
    <row r="651" ht="15.75" customHeight="1" s="19"/>
    <row r="652" ht="15.75" customHeight="1" s="19"/>
    <row r="653" ht="15.75" customHeight="1" s="19"/>
    <row r="654" ht="15.75" customHeight="1" s="19"/>
    <row r="655" ht="15.75" customHeight="1" s="19"/>
    <row r="656" ht="15.75" customHeight="1" s="19"/>
    <row r="657" ht="15.75" customHeight="1" s="19"/>
    <row r="658" ht="15.75" customHeight="1" s="19"/>
    <row r="659" ht="15.75" customHeight="1" s="19"/>
    <row r="660" ht="15.75" customHeight="1" s="19"/>
    <row r="661" ht="15.75" customHeight="1" s="19"/>
    <row r="662" ht="15.75" customHeight="1" s="19"/>
    <row r="663" ht="15.75" customHeight="1" s="19"/>
    <row r="664" ht="15.75" customHeight="1" s="19"/>
    <row r="665" ht="15.75" customHeight="1" s="19"/>
    <row r="666" ht="15.75" customHeight="1" s="19"/>
    <row r="667" ht="15.75" customHeight="1" s="19"/>
    <row r="668" ht="15.75" customHeight="1" s="19"/>
    <row r="669" ht="15.75" customHeight="1" s="19"/>
    <row r="670" ht="15.75" customHeight="1" s="19"/>
    <row r="671" ht="15.75" customHeight="1" s="19"/>
    <row r="672" ht="15.75" customHeight="1" s="19"/>
    <row r="673" ht="15.75" customHeight="1" s="19"/>
    <row r="674" ht="15.75" customHeight="1" s="19"/>
    <row r="675" ht="15.75" customHeight="1" s="19"/>
    <row r="676" ht="15.75" customHeight="1" s="19"/>
    <row r="677" ht="15.75" customHeight="1" s="19"/>
    <row r="678" ht="15.75" customHeight="1" s="19"/>
    <row r="679" ht="15.75" customHeight="1" s="19"/>
    <row r="680" ht="15.75" customHeight="1" s="19"/>
    <row r="681" ht="15.75" customHeight="1" s="19"/>
    <row r="682" ht="15.75" customHeight="1" s="19"/>
    <row r="683" ht="15.75" customHeight="1" s="19"/>
    <row r="684" ht="15.75" customHeight="1" s="19"/>
    <row r="685" ht="15.75" customHeight="1" s="19"/>
    <row r="686" ht="15.75" customHeight="1" s="19"/>
    <row r="687" ht="15.75" customHeight="1" s="19"/>
    <row r="688" ht="15.75" customHeight="1" s="19"/>
    <row r="689" ht="15.75" customHeight="1" s="19"/>
    <row r="690" ht="15.75" customHeight="1" s="19"/>
    <row r="691" ht="15.75" customHeight="1" s="19"/>
    <row r="692" ht="15.75" customHeight="1" s="19"/>
    <row r="693" ht="15.75" customHeight="1" s="19"/>
    <row r="694" ht="15.75" customHeight="1" s="19"/>
    <row r="695" ht="15.75" customHeight="1" s="19"/>
    <row r="696" ht="15.75" customHeight="1" s="19"/>
    <row r="697" ht="15.75" customHeight="1" s="19"/>
    <row r="698" ht="15.75" customHeight="1" s="19"/>
    <row r="699" ht="15.75" customHeight="1" s="19"/>
    <row r="700" ht="15.75" customHeight="1" s="19"/>
    <row r="701" ht="15.75" customHeight="1" s="19"/>
    <row r="702" ht="15.75" customHeight="1" s="19"/>
    <row r="703" ht="15.75" customHeight="1" s="19"/>
    <row r="704" ht="15.75" customHeight="1" s="19"/>
    <row r="705" ht="15.75" customHeight="1" s="19"/>
    <row r="706" ht="15.75" customHeight="1" s="19"/>
    <row r="707" ht="15.75" customHeight="1" s="19"/>
    <row r="708" ht="15.75" customHeight="1" s="19"/>
    <row r="709" ht="15.75" customHeight="1" s="19"/>
    <row r="710" ht="15.75" customHeight="1" s="19"/>
    <row r="711" ht="15.75" customHeight="1" s="19"/>
    <row r="712" ht="15.75" customHeight="1" s="19"/>
    <row r="713" ht="15.75" customHeight="1" s="19"/>
    <row r="714" ht="15.75" customHeight="1" s="19"/>
    <row r="715" ht="15.75" customHeight="1" s="19"/>
    <row r="716" ht="15.75" customHeight="1" s="19"/>
    <row r="717" ht="15.75" customHeight="1" s="19"/>
    <row r="718" ht="15.75" customHeight="1" s="19"/>
    <row r="719" ht="15.75" customHeight="1" s="19"/>
    <row r="720" ht="15.75" customHeight="1" s="19"/>
    <row r="721" ht="15.75" customHeight="1" s="19"/>
    <row r="722" ht="15.75" customHeight="1" s="19"/>
    <row r="723" ht="15.75" customHeight="1" s="19"/>
    <row r="724" ht="15.75" customHeight="1" s="19"/>
    <row r="725" ht="15.75" customHeight="1" s="19"/>
    <row r="726" ht="15.75" customHeight="1" s="19"/>
    <row r="727" ht="15.75" customHeight="1" s="19"/>
    <row r="728" ht="15.75" customHeight="1" s="19"/>
    <row r="729" ht="15.75" customHeight="1" s="19"/>
    <row r="730" ht="15.75" customHeight="1" s="19"/>
    <row r="731" ht="15.75" customHeight="1" s="19"/>
    <row r="732" ht="15.75" customHeight="1" s="19"/>
    <row r="733" ht="15.75" customHeight="1" s="19"/>
    <row r="734" ht="15.75" customHeight="1" s="19"/>
    <row r="735" ht="15.75" customHeight="1" s="19"/>
    <row r="736" ht="15.75" customHeight="1" s="19"/>
    <row r="737" ht="15.75" customHeight="1" s="19"/>
    <row r="738" ht="15.75" customHeight="1" s="19"/>
    <row r="739" ht="15.75" customHeight="1" s="19"/>
    <row r="740" ht="15.75" customHeight="1" s="19"/>
    <row r="741" ht="15.75" customHeight="1" s="19"/>
    <row r="742" ht="15.75" customHeight="1" s="19"/>
    <row r="743" ht="15.75" customHeight="1" s="19"/>
    <row r="744" ht="15.75" customHeight="1" s="19"/>
    <row r="745" ht="15.75" customHeight="1" s="19"/>
    <row r="746" ht="15.75" customHeight="1" s="19"/>
    <row r="747" ht="15.75" customHeight="1" s="19"/>
    <row r="748" ht="15.75" customHeight="1" s="19"/>
    <row r="749" ht="15.75" customHeight="1" s="19"/>
    <row r="750" ht="15.75" customHeight="1" s="19"/>
    <row r="751" ht="15.75" customHeight="1" s="19"/>
    <row r="752" ht="15.75" customHeight="1" s="19"/>
    <row r="753" ht="15.75" customHeight="1" s="19"/>
    <row r="754" ht="15.75" customHeight="1" s="19"/>
    <row r="755" ht="15.75" customHeight="1" s="19"/>
    <row r="756" ht="15.75" customHeight="1" s="19"/>
    <row r="757" ht="15.75" customHeight="1" s="19"/>
    <row r="758" ht="15.75" customHeight="1" s="19"/>
    <row r="759" ht="15.75" customHeight="1" s="19"/>
    <row r="760" ht="15.75" customHeight="1" s="19"/>
    <row r="761" ht="15.75" customHeight="1" s="19"/>
    <row r="762" ht="15.75" customHeight="1" s="19"/>
    <row r="763" ht="15.75" customHeight="1" s="19"/>
    <row r="764" ht="15.75" customHeight="1" s="19"/>
    <row r="765" ht="15.75" customHeight="1" s="19"/>
    <row r="766" ht="15.75" customHeight="1" s="19"/>
    <row r="767" ht="15.75" customHeight="1" s="19"/>
    <row r="768" ht="15.75" customHeight="1" s="19"/>
    <row r="769" ht="15.75" customHeight="1" s="19"/>
    <row r="770" ht="15.75" customHeight="1" s="19"/>
    <row r="771" ht="15.75" customHeight="1" s="19"/>
    <row r="772" ht="15.75" customHeight="1" s="19"/>
    <row r="773" ht="15.75" customHeight="1" s="19"/>
    <row r="774" ht="15.75" customHeight="1" s="19"/>
    <row r="775" ht="15.75" customHeight="1" s="19"/>
    <row r="776" ht="15.75" customHeight="1" s="19"/>
    <row r="777" ht="15.75" customHeight="1" s="19"/>
    <row r="778" ht="15.75" customHeight="1" s="19"/>
    <row r="779" ht="15.75" customHeight="1" s="19"/>
    <row r="780" ht="15.75" customHeight="1" s="19"/>
    <row r="781" ht="15.75" customHeight="1" s="19"/>
    <row r="782" ht="15.75" customHeight="1" s="19"/>
    <row r="783" ht="15.75" customHeight="1" s="19"/>
    <row r="784" ht="15.75" customHeight="1" s="19"/>
    <row r="785" ht="15.75" customHeight="1" s="19"/>
    <row r="786" ht="15.75" customHeight="1" s="19"/>
    <row r="787" ht="15.75" customHeight="1" s="19"/>
    <row r="788" ht="15.75" customHeight="1" s="19"/>
    <row r="789" ht="15.75" customHeight="1" s="19"/>
    <row r="790" ht="15.75" customHeight="1" s="19"/>
    <row r="791" ht="15.75" customHeight="1" s="19"/>
    <row r="792" ht="15.75" customHeight="1" s="19"/>
    <row r="793" ht="15.75" customHeight="1" s="19"/>
    <row r="794" ht="15.75" customHeight="1" s="19"/>
    <row r="795" ht="15.75" customHeight="1" s="19"/>
    <row r="796" ht="15.75" customHeight="1" s="19"/>
    <row r="797" ht="15.75" customHeight="1" s="19"/>
    <row r="798" ht="15.75" customHeight="1" s="19"/>
    <row r="799" ht="15.75" customHeight="1" s="19"/>
    <row r="800" ht="15.75" customHeight="1" s="19"/>
    <row r="801" ht="15.75" customHeight="1" s="19"/>
    <row r="802" ht="15.75" customHeight="1" s="19"/>
    <row r="803" ht="15.75" customHeight="1" s="19"/>
    <row r="804" ht="15.75" customHeight="1" s="19"/>
    <row r="805" ht="15.75" customHeight="1" s="19"/>
    <row r="806" ht="15.75" customHeight="1" s="19"/>
    <row r="807" ht="15.75" customHeight="1" s="19"/>
    <row r="808" ht="15.75" customHeight="1" s="19"/>
    <row r="809" ht="15.75" customHeight="1" s="19"/>
    <row r="810" ht="15.75" customHeight="1" s="19"/>
    <row r="811" ht="15.75" customHeight="1" s="19"/>
    <row r="812" ht="15.75" customHeight="1" s="19"/>
    <row r="813" ht="15.75" customHeight="1" s="19"/>
    <row r="814" ht="15.75" customHeight="1" s="19"/>
    <row r="815" ht="15.75" customHeight="1" s="19"/>
    <row r="816" ht="15.75" customHeight="1" s="19"/>
    <row r="817" ht="15.75" customHeight="1" s="19"/>
    <row r="818" ht="15.75" customHeight="1" s="19"/>
    <row r="819" ht="15.75" customHeight="1" s="19"/>
    <row r="820" ht="15.75" customHeight="1" s="19"/>
    <row r="821" ht="15.75" customHeight="1" s="19"/>
    <row r="822" ht="15.75" customHeight="1" s="19"/>
    <row r="823" ht="15.75" customHeight="1" s="19"/>
    <row r="824" ht="15.75" customHeight="1" s="19"/>
    <row r="825" ht="15.75" customHeight="1" s="19"/>
    <row r="826" ht="15.75" customHeight="1" s="19"/>
    <row r="827" ht="15.75" customHeight="1" s="19"/>
    <row r="828" ht="15.75" customHeight="1" s="19"/>
    <row r="829" ht="15.75" customHeight="1" s="19"/>
    <row r="830" ht="15.75" customHeight="1" s="19"/>
    <row r="831" ht="15.75" customHeight="1" s="19"/>
    <row r="832" ht="15.75" customHeight="1" s="19"/>
    <row r="833" ht="15.75" customHeight="1" s="19"/>
    <row r="834" ht="15.75" customHeight="1" s="19"/>
    <row r="835" ht="15.75" customHeight="1" s="19"/>
    <row r="836" ht="15.75" customHeight="1" s="19"/>
    <row r="837" ht="15.75" customHeight="1" s="19"/>
    <row r="838" ht="15.75" customHeight="1" s="19"/>
    <row r="839" ht="15.75" customHeight="1" s="19"/>
    <row r="840" ht="15.75" customHeight="1" s="19"/>
    <row r="841" ht="15.75" customHeight="1" s="19"/>
    <row r="842" ht="15.75" customHeight="1" s="19"/>
    <row r="843" ht="15.75" customHeight="1" s="19"/>
    <row r="844" ht="15.75" customHeight="1" s="19"/>
    <row r="845" ht="15.75" customHeight="1" s="19"/>
    <row r="846" ht="15.75" customHeight="1" s="19"/>
    <row r="847" ht="15.75" customHeight="1" s="19"/>
    <row r="848" ht="15.75" customHeight="1" s="19"/>
    <row r="849" ht="15.75" customHeight="1" s="19"/>
    <row r="850" ht="15.75" customHeight="1" s="19"/>
    <row r="851" ht="15.75" customHeight="1" s="19"/>
    <row r="852" ht="15.75" customHeight="1" s="19"/>
    <row r="853" ht="15.75" customHeight="1" s="19"/>
    <row r="854" ht="15.75" customHeight="1" s="19"/>
    <row r="855" ht="15.75" customHeight="1" s="19"/>
    <row r="856" ht="15.75" customHeight="1" s="19"/>
    <row r="857" ht="15.75" customHeight="1" s="19"/>
    <row r="858" ht="15.75" customHeight="1" s="19"/>
    <row r="859" ht="15.75" customHeight="1" s="19"/>
    <row r="860" ht="15.75" customHeight="1" s="19"/>
    <row r="861" ht="15.75" customHeight="1" s="19"/>
    <row r="862" ht="15.75" customHeight="1" s="19"/>
    <row r="863" ht="15.75" customHeight="1" s="19"/>
    <row r="864" ht="15.75" customHeight="1" s="19"/>
    <row r="865" ht="15.75" customHeight="1" s="19"/>
    <row r="866" ht="15.75" customHeight="1" s="19"/>
    <row r="867" ht="15.75" customHeight="1" s="19"/>
    <row r="868" ht="15.75" customHeight="1" s="19"/>
    <row r="869" ht="15.75" customHeight="1" s="19"/>
    <row r="870" ht="15.75" customHeight="1" s="19"/>
    <row r="871" ht="15.75" customHeight="1" s="19"/>
    <row r="872" ht="15.75" customHeight="1" s="19"/>
    <row r="873" ht="15.75" customHeight="1" s="19"/>
    <row r="874" ht="15.75" customHeight="1" s="19"/>
    <row r="875" ht="15.75" customHeight="1" s="19"/>
    <row r="876" ht="15.75" customHeight="1" s="19"/>
    <row r="877" ht="15.75" customHeight="1" s="19"/>
    <row r="878" ht="15.75" customHeight="1" s="19"/>
    <row r="879" ht="15.75" customHeight="1" s="19"/>
    <row r="880" ht="15.75" customHeight="1" s="19"/>
    <row r="881" ht="15.75" customHeight="1" s="19"/>
    <row r="882" ht="15.75" customHeight="1" s="19"/>
    <row r="883" ht="15.75" customHeight="1" s="19"/>
    <row r="884" ht="15.75" customHeight="1" s="19"/>
    <row r="885" ht="15.75" customHeight="1" s="19"/>
    <row r="886" ht="15.75" customHeight="1" s="19"/>
    <row r="887" ht="15.75" customHeight="1" s="19"/>
    <row r="888" ht="15.75" customHeight="1" s="19"/>
    <row r="889" ht="15.75" customHeight="1" s="19"/>
    <row r="890" ht="15.75" customHeight="1" s="19"/>
    <row r="891" ht="15.75" customHeight="1" s="19"/>
    <row r="892" ht="15.75" customHeight="1" s="19"/>
    <row r="893" ht="15.75" customHeight="1" s="19"/>
    <row r="894" ht="15.75" customHeight="1" s="19"/>
    <row r="895" ht="15.75" customHeight="1" s="19"/>
    <row r="896" ht="15.75" customHeight="1" s="19"/>
    <row r="897" ht="15.75" customHeight="1" s="19"/>
    <row r="898" ht="15.75" customHeight="1" s="19"/>
    <row r="899" ht="15.75" customHeight="1" s="19"/>
    <row r="900" ht="15.75" customHeight="1" s="19"/>
    <row r="901" ht="15.75" customHeight="1" s="19"/>
    <row r="902" ht="15.75" customHeight="1" s="19"/>
    <row r="903" ht="15.75" customHeight="1" s="19"/>
    <row r="904" ht="15.75" customHeight="1" s="19"/>
    <row r="905" ht="15.75" customHeight="1" s="19"/>
    <row r="906" ht="15.75" customHeight="1" s="19"/>
    <row r="907" ht="15.75" customHeight="1" s="19"/>
    <row r="908" ht="15.75" customHeight="1" s="19"/>
    <row r="909" ht="15.75" customHeight="1" s="19"/>
    <row r="910" ht="15.75" customHeight="1" s="19"/>
    <row r="911" ht="15.75" customHeight="1" s="19"/>
    <row r="912" ht="15.75" customHeight="1" s="19"/>
    <row r="913" ht="15.75" customHeight="1" s="19"/>
    <row r="914" ht="15.75" customHeight="1" s="19"/>
    <row r="915" ht="15.75" customHeight="1" s="19"/>
    <row r="916" ht="15.75" customHeight="1" s="19"/>
    <row r="917" ht="15.75" customHeight="1" s="19"/>
    <row r="918" ht="15.75" customHeight="1" s="19"/>
    <row r="919" ht="15.75" customHeight="1" s="19"/>
    <row r="920" ht="15.75" customHeight="1" s="19"/>
    <row r="921" ht="15.75" customHeight="1" s="19"/>
    <row r="922" ht="15.75" customHeight="1" s="19"/>
    <row r="923" ht="15.75" customHeight="1" s="19"/>
    <row r="924" ht="15.75" customHeight="1" s="19"/>
    <row r="925" ht="15.75" customHeight="1" s="19"/>
    <row r="926" ht="15.75" customHeight="1" s="19"/>
    <row r="927" ht="15.75" customHeight="1" s="19"/>
    <row r="928" ht="15.75" customHeight="1" s="19"/>
    <row r="929" ht="15.75" customHeight="1" s="19"/>
    <row r="930" ht="15.75" customHeight="1" s="19"/>
    <row r="931" ht="15.75" customHeight="1" s="19"/>
    <row r="932" ht="15.75" customHeight="1" s="19"/>
    <row r="933" ht="15.75" customHeight="1" s="19"/>
    <row r="934" ht="15.75" customHeight="1" s="19"/>
    <row r="935" ht="15.75" customHeight="1" s="19"/>
    <row r="936" ht="15.75" customHeight="1" s="19"/>
    <row r="937" ht="15.75" customHeight="1" s="19"/>
    <row r="938" ht="15.75" customHeight="1" s="19"/>
    <row r="939" ht="15.75" customHeight="1" s="19"/>
    <row r="940" ht="15.75" customHeight="1" s="19"/>
    <row r="941" ht="15.75" customHeight="1" s="19"/>
    <row r="942" ht="15.75" customHeight="1" s="19"/>
    <row r="943" ht="15.75" customHeight="1" s="19"/>
    <row r="944" ht="15.75" customHeight="1" s="19"/>
    <row r="945" ht="15.75" customHeight="1" s="19"/>
    <row r="946" ht="15.75" customHeight="1" s="19"/>
    <row r="947" ht="15.75" customHeight="1" s="19"/>
    <row r="948" ht="15.75" customHeight="1" s="19"/>
    <row r="949" ht="15.75" customHeight="1" s="19"/>
    <row r="950" ht="15.75" customHeight="1" s="19"/>
    <row r="951" ht="15.75" customHeight="1" s="19"/>
    <row r="952" ht="15.75" customHeight="1" s="19"/>
    <row r="953" ht="15.75" customHeight="1" s="19"/>
    <row r="954" ht="15.75" customHeight="1" s="19"/>
    <row r="955" ht="15.75" customHeight="1" s="19"/>
    <row r="956" ht="15.75" customHeight="1" s="19"/>
    <row r="957" ht="15.75" customHeight="1" s="19"/>
    <row r="958" ht="15.75" customHeight="1" s="19"/>
    <row r="959" ht="15.75" customHeight="1" s="19"/>
    <row r="960" ht="15.75" customHeight="1" s="19"/>
    <row r="961" ht="15.75" customHeight="1" s="19"/>
    <row r="962" ht="15.75" customHeight="1" s="19"/>
    <row r="963" ht="15.75" customHeight="1" s="19"/>
    <row r="964" ht="15.75" customHeight="1" s="19"/>
    <row r="965" ht="15.75" customHeight="1" s="19"/>
    <row r="966" ht="15.75" customHeight="1" s="19"/>
    <row r="967" ht="15.75" customHeight="1" s="19"/>
    <row r="968" ht="15.75" customHeight="1" s="19"/>
    <row r="969" ht="15.75" customHeight="1" s="19"/>
    <row r="970" ht="15.75" customHeight="1" s="19"/>
    <row r="971" ht="15.75" customHeight="1" s="19"/>
    <row r="972" ht="15.75" customHeight="1" s="19"/>
    <row r="973" ht="15.75" customHeight="1" s="19"/>
    <row r="974" ht="15.75" customHeight="1" s="19"/>
    <row r="975" ht="15.75" customHeight="1" s="19"/>
    <row r="976" ht="15.75" customHeight="1" s="19"/>
    <row r="977" ht="15.75" customHeight="1" s="19"/>
    <row r="978" ht="15.75" customHeight="1" s="19"/>
    <row r="979" ht="15.75" customHeight="1" s="19"/>
    <row r="980" ht="15.75" customHeight="1" s="19"/>
    <row r="981" ht="15.75" customHeight="1" s="19"/>
    <row r="982" ht="15.75" customHeight="1" s="19"/>
    <row r="983" ht="15.75" customHeight="1" s="19"/>
    <row r="984" ht="15.75" customHeight="1" s="19"/>
    <row r="985" ht="15.75" customHeight="1" s="19"/>
    <row r="986" ht="15.75" customHeight="1" s="19"/>
    <row r="987" ht="15.75" customHeight="1" s="19"/>
    <row r="988" ht="15.75" customHeight="1" s="19"/>
    <row r="989" ht="15.75" customHeight="1" s="19"/>
    <row r="990" ht="15.75" customHeight="1" s="19"/>
    <row r="991" ht="15.75" customHeight="1" s="19"/>
    <row r="992" ht="15.75" customHeight="1" s="19"/>
    <row r="993" ht="15.75" customHeight="1" s="19"/>
    <row r="994" ht="15.75" customHeight="1" s="19"/>
    <row r="995" ht="15.75" customHeight="1" s="19"/>
    <row r="996" ht="15.75" customHeight="1" s="19"/>
    <row r="997" ht="15.75" customHeight="1" s="19"/>
    <row r="998" ht="15.75" customHeight="1" s="19"/>
    <row r="999" ht="15.75" customHeight="1" s="19"/>
    <row r="1000" ht="15.75" customHeight="1" s="19"/>
  </sheetData>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P26"/>
  <sheetViews>
    <sheetView showGridLines="0" workbookViewId="0">
      <pane xSplit="5" ySplit="4" topLeftCell="F5" activePane="bottomRight" state="frozen"/>
      <selection pane="topRight" activeCell="F1" sqref="F1"/>
      <selection pane="bottomLeft" activeCell="A5" sqref="A5"/>
      <selection pane="bottomRight" activeCell="F5" sqref="F5"/>
    </sheetView>
  </sheetViews>
  <sheetFormatPr baseColWidth="8" defaultColWidth="14.43" defaultRowHeight="15" customHeight="1"/>
  <cols>
    <col width="8" customWidth="1" style="19" min="1" max="1"/>
    <col width="25" customWidth="1" style="19" min="2" max="2"/>
    <col width="45" customWidth="1" style="19" min="3" max="3"/>
    <col width="35" customWidth="1" style="19" min="4" max="5"/>
    <col width="12" customWidth="1" style="19" min="6" max="6"/>
    <col width="14" customWidth="1" style="19" min="7" max="7"/>
    <col width="12" customWidth="1" style="19" min="8" max="8"/>
    <col width="14" customWidth="1" style="19" min="9" max="9"/>
    <col width="12" customWidth="1" style="19" min="10" max="10"/>
    <col width="14" customWidth="1" style="19" min="11" max="11"/>
    <col width="15" customWidth="1" style="19" min="12" max="12"/>
    <col width="22" customWidth="1" style="19" min="13" max="13"/>
    <col width="15" customWidth="1" style="19" min="14" max="14"/>
    <col width="45" customWidth="1" style="19" min="15" max="15"/>
    <col width="35" customWidth="1" style="19" min="16" max="16"/>
    <col width="8.710000000000001" customWidth="1" style="19" min="17" max="26"/>
  </cols>
  <sheetData>
    <row r="1">
      <c r="A1" s="1" t="inlineStr">
        <is>
          <t>Digital SAT Practice Test - October 2026: Math Module 1</t>
        </is>
      </c>
    </row>
    <row r="2">
      <c r="A2" s="2" t="inlineStr">
        <is>
          <t>Chiến thuật: Tự thử sức ở Lần 1 (Cột F) -&gt; Nhận phản hồi tự động &amp; Gợi ý định hướng logic mà không làm lộ đáp án.</t>
        </is>
      </c>
    </row>
    <row r="4" ht="27.75" customHeight="1" s="19">
      <c r="A4" s="3" t="inlineStr">
        <is>
          <t>Q#</t>
        </is>
      </c>
      <c r="B4" s="3" t="inlineStr">
        <is>
          <t>Topic / Skill Focus</t>
        </is>
      </c>
      <c r="C4" s="3" t="inlineStr">
        <is>
          <t>Passage &amp; Context</t>
        </is>
      </c>
      <c r="D4" s="3" t="inlineStr">
        <is>
          <t>Question Prompt / Calculator</t>
        </is>
      </c>
      <c r="E4" s="3" t="inlineStr">
        <is>
          <t>Options / Choices (No Answer)</t>
        </is>
      </c>
      <c r="F4" s="3" t="inlineStr">
        <is>
          <t>Lần thử 1</t>
        </is>
      </c>
      <c r="G4" s="3" t="inlineStr">
        <is>
          <t>Kết quả L1</t>
        </is>
      </c>
      <c r="H4" s="3" t="inlineStr">
        <is>
          <t>Lần thử 2</t>
        </is>
      </c>
      <c r="I4" s="3" t="inlineStr">
        <is>
          <t>Kết quả L2</t>
        </is>
      </c>
      <c r="J4" s="3" t="inlineStr">
        <is>
          <t>Lần thử 3</t>
        </is>
      </c>
      <c r="K4" s="3" t="inlineStr">
        <is>
          <t>Kết quả L3</t>
        </is>
      </c>
      <c r="L4" s="3" t="inlineStr">
        <is>
          <t>Tổng số cột Sai</t>
        </is>
      </c>
      <c r="M4" s="3" t="inlineStr">
        <is>
          <t>Trạng thái Hoàn thành</t>
        </is>
      </c>
      <c r="N4" s="3" t="inlineStr">
        <is>
          <t>Hiệu suất (%)</t>
        </is>
      </c>
      <c r="O4" s="3" t="inlineStr">
        <is>
          <t>Hint / Gợi ý Đa tầng (Không đáp án)</t>
        </is>
      </c>
      <c r="P4" s="3" t="inlineStr">
        <is>
          <t>Strategic Tip / Formula</t>
        </is>
      </c>
    </row>
    <row r="5">
      <c r="A5" s="7" t="inlineStr">
        <is>
          <t>Q1</t>
        </is>
      </c>
      <c r="B5" s="5" t="inlineStr">
        <is>
          <t>Linear Functions &amp; Evaluation</t>
        </is>
      </c>
      <c r="C5" s="5" t="inlineStr">
        <is>
          <t>The function h is defined by h(x) = 100x - 50.</t>
        </is>
      </c>
      <c r="D5" s="5" t="inlineStr">
        <is>
          <t>Calculator Allowed. What is the value of h(x) when x = 6?</t>
        </is>
      </c>
      <c r="E5" s="5" t="inlineStr">
        <is>
          <t>A. Lựa chọn A
B. Lựa chọn B
C. Lựa chọn C
D. Lựa chọn D</t>
        </is>
      </c>
      <c r="F5" s="14" t="n"/>
      <c r="G5" s="7">
        <f>IF(ISBLANK(F5), "⏳ Chờ đáp án", IF(UPPER(TRIM(F5))="C", "✅ Đúng", "❌ Sai"))</f>
        <v/>
      </c>
      <c r="H5" s="14" t="n"/>
      <c r="I5" s="7">
        <f>IF(ISBLANK(H5), "", IF(UPPER(TRIM(H5))="C", "✅ Đúng", "❌ Sai"))</f>
        <v/>
      </c>
      <c r="J5" s="14" t="n"/>
      <c r="K5" s="7">
        <f>IF(ISBLANK(J5), "", IF(UPPER(TRIM(J5))="C", "✅ Đúng", "❌ Sai"))</f>
        <v/>
      </c>
      <c r="L5" s="7">
        <f>COUNTIF(G5, "❌ Sai") + COUNTIF(I5, "❌ Sai") + COUNTIF(K5, "❌ Sai")</f>
        <v/>
      </c>
      <c r="M5" s="7">
        <f>IF(ISBLANK(F5), "⏳ Chờ làm", IF(G5="✅ Đúng", "✅ Đúng ngay L1", IF(I5="✅ Đúng", "✅ Đúng ở L2", IF(K5="✅ Đúng", "✅ Đúng ở L3", "❌ Chưa đúng sau 3 lần"))))</f>
        <v/>
      </c>
      <c r="N5" s="13">
        <f>IF(G5="✅ Đúng", 1, IF(I5="✅ Đúng", 0.667, IF(K5="✅ Đúng", 0.333, 0)))</f>
        <v/>
      </c>
      <c r="O5" s="5">
        <f>IF(ISBLANK(F5), "💡 Nhập đáp án vào Lần thử 1", IF(OR(G5="✅ Đúng", I5="✅ Đúng", K5="✅ Đúng"), "✨ Xuất sắc! Bạn đã làm đúng.", IF(NOT(ISBLANK(J5)), "💡 Gợi ý Tầng 3 (Chốt phương pháp): " &amp; "Thực hiện phép nhân trước rồi thực hiện phép trừ để tìm giá trị đầu ra.", IF(NOT(ISBLANK(H5)), "💡 Gợi ý Tầng 2 (Manh mối cấu trúc &amp; Loại trừ): " &amp; "Thay giá trị của biến số vào vị trí tương ứng trong công thức hàm số.", "💡 Gợi ý Tầng 1 (Định hướng bối cảnh): " &amp; "Đây là bài toán đánh giá giá trị hàm số tuyến tính h(x) tại một điểm."))))</f>
        <v/>
      </c>
      <c r="P5" s="5">
        <f>IF(OR(G5="✅ Đúng", I5="✅ Đúng", K5="✅ Đúng"), "Linear Function Evaluation: h(6) = 100(6) - 50 = 550.", "🔒 Trả lời đúng để mở khóa Strategic Tip!")</f>
        <v/>
      </c>
    </row>
    <row r="6">
      <c r="A6" s="7" t="inlineStr">
        <is>
          <t>Q2</t>
        </is>
      </c>
      <c r="B6" s="5" t="inlineStr">
        <is>
          <t>Linear Graph Interpretation (y-intercept)</t>
        </is>
      </c>
      <c r="C6" s="5" t="inlineStr">
        <is>
          <t>The graph shown gives the estimated value, in dollars, of a mountain bike as a function of the number of months since it was purchased. The line intersects the y-axis at (0, 275).</t>
        </is>
      </c>
      <c r="D6" s="5" t="inlineStr">
        <is>
          <t>Calculator Allowed. What is the best interpretation of the y-intercept of the graph in this context?</t>
        </is>
      </c>
      <c r="E6" s="5" t="inlineStr">
        <is>
          <t>A. Lựa chọn A
B. Lựa chọn B
C. Lựa chọn C
D. Lựa chọn D</t>
        </is>
      </c>
      <c r="F6" s="14" t="n"/>
      <c r="G6" s="7">
        <f>IF(ISBLANK(F6), "⏳ Chờ đáp án", IF(UPPER(TRIM(F6))="A", "✅ Đúng", "❌ Sai"))</f>
        <v/>
      </c>
      <c r="H6" s="14" t="n"/>
      <c r="I6" s="7">
        <f>IF(ISBLANK(H6), "", IF(UPPER(TRIM(H6))="A", "✅ Đúng", "❌ Sai"))</f>
        <v/>
      </c>
      <c r="J6" s="14" t="n"/>
      <c r="K6" s="7">
        <f>IF(ISBLANK(J6), "", IF(UPPER(TRIM(J6))="A", "✅ Đúng", "❌ Sai"))</f>
        <v/>
      </c>
      <c r="L6" s="7">
        <f>COUNTIF(G6, "❌ Sai") + COUNTIF(I6, "❌ Sai") + COUNTIF(K6, "❌ Sai")</f>
        <v/>
      </c>
      <c r="M6" s="7">
        <f>IF(ISBLANK(F6), "⏳ Chờ làm", IF(G6="✅ Đúng", "✅ Đúng ngay L1", IF(I6="✅ Đúng", "✅ Đúng ở L2", IF(K6="✅ Đúng", "✅ Đúng ở L3", "❌ Chưa đúng sau 3 lần"))))</f>
        <v/>
      </c>
      <c r="N6" s="13">
        <f>IF(G6="✅ Đúng", 1, IF(I6="✅ Đúng", 0.667, IF(K6="✅ Đúng", 0.333, 0)))</f>
        <v/>
      </c>
      <c r="O6" s="5">
        <f>IF(ISBLANK(F6), "💡 Nhập đáp án vào Lần thử 1", IF(OR(G6="✅ Đúng", I6="✅ Đúng", K6="✅ Đúng"), "✨ Xuất sắc! Bạn đã làm đúng.", IF(NOT(ISBLANK(J6)), "💡 Gợi ý Tầng 3 (Chốt phương pháp): " &amp; "Trong bối cảnh bài toán, t = 0 đại diện cho thời điểm ban đầu khi bắt đầu theo dõi.", IF(NOT(ISBLANK(H6)), "💡 Gợi ý Tầng 2 (Manh mối cấu trúc &amp; Loại trừ): " &amp; "Tung độ gốc là giá trị của y khi biến độc lập t bằng 0.", "💡 Gợi ý Tầng 1 (Định hướng bối cảnh): " &amp; "Phân tích ý nghĩa của tung độ gốc (y-intercept) trên đồ thị bài toán thực tế."))))</f>
        <v/>
      </c>
      <c r="P6" s="5">
        <f>IF(OR(G6="✅ Đúng", I6="✅ Đúng", K6="✅ Đúng"), "y-intercept (0, b) represents the initial value at time t = 0.", "🔒 Trả lời đúng để mở khóa Strategic Tip!")</f>
        <v/>
      </c>
    </row>
    <row r="7">
      <c r="A7" s="7" t="inlineStr">
        <is>
          <t>Q3</t>
        </is>
      </c>
      <c r="B7" s="5" t="inlineStr">
        <is>
          <t>Percentages &amp; Basic Calculations</t>
        </is>
      </c>
      <c r="C7" s="5" t="inlineStr">
        <is>
          <t>Out of 200 attempts, 55% were successful.</t>
        </is>
      </c>
      <c r="D7" s="5" t="inlineStr">
        <is>
          <t>Calculator Allowed. How many of these attempts were successful?</t>
        </is>
      </c>
      <c r="E7" s="5" t="inlineStr">
        <is>
          <t>Student-Produced Response (Grid-in)</t>
        </is>
      </c>
      <c r="F7" s="14" t="n"/>
      <c r="G7" s="7">
        <f>IF(ISBLANK(F7), "⏳ Chờ đáp án", IF(UPPER(TRIM(F7))="110", "✅ Đúng", "❌ Sai"))</f>
        <v/>
      </c>
      <c r="H7" s="14" t="n"/>
      <c r="I7" s="7">
        <f>IF(ISBLANK(H7), "", IF(UPPER(TRIM(H7))="110", "✅ Đúng", "❌ Sai"))</f>
        <v/>
      </c>
      <c r="J7" s="14" t="n"/>
      <c r="K7" s="7">
        <f>IF(ISBLANK(J7), "", IF(UPPER(TRIM(J7))="110", "✅ Đúng", "❌ Sai"))</f>
        <v/>
      </c>
      <c r="L7" s="7">
        <f>COUNTIF(G7, "❌ Sai") + COUNTIF(I7, "❌ Sai") + COUNTIF(K7, "❌ Sai")</f>
        <v/>
      </c>
      <c r="M7" s="7">
        <f>IF(ISBLANK(F7), "⏳ Chờ làm", IF(G7="✅ Đúng", "✅ Đúng ngay L1", IF(I7="✅ Đúng", "✅ Đúng ở L2", IF(K7="✅ Đúng", "✅ Đúng ở L3", "❌ Chưa đúng sau 3 lần"))))</f>
        <v/>
      </c>
      <c r="N7" s="13">
        <f>IF(G7="✅ Đúng", 1, IF(I7="✅ Đúng", 0.667, IF(K7="✅ Đúng", 0.333, 0)))</f>
        <v/>
      </c>
      <c r="O7" s="5">
        <f>IF(ISBLANK(F7), "💡 Nhập đáp án vào Lần thử 1", IF(OR(G7="✅ Đúng", I7="✅ Đúng", K7="✅ Đúng"), "✨ Xuất sắc! Bạn đã làm đúng.", IF(NOT(ISBLANK(J7)), "💡 Gợi ý Tầng 3 (Chốt phương pháp): " &amp; "Nhân số thập phân vừa tìm được với giá trị tổng ban đầu.", IF(NOT(ISBLANK(H7)), "💡 Gợi ý Tầng 2 (Manh mối cấu trúc &amp; Loại trừ): " &amp; "Chuyển đổi tỉ lệ phần trăm thành số thập phân bằng cách chia cho 100.", "💡 Gợi ý Tầng 1 (Định hướng bối cảnh): " &amp; "Bài toán yêu cầu tính giá trị phần trăm của một số nguyên cho trước."))))</f>
        <v/>
      </c>
      <c r="P7" s="5">
        <f>IF(OR(G7="✅ Đúng", I7="✅ Đúng", K7="✅ Đúng"), "Percent of Total: Number = Percentage * Total = 0.55 * 200 = 110.", "🔒 Trả lời đúng để mở khóa Strategic Tip!")</f>
        <v/>
      </c>
    </row>
    <row r="8">
      <c r="A8" s="7" t="inlineStr">
        <is>
          <t>Q4</t>
        </is>
      </c>
      <c r="B8" s="5" t="inlineStr">
        <is>
          <t>Equivalent Algebraic Expressions</t>
        </is>
      </c>
      <c r="C8" s="5" t="inlineStr">
        <is>
          <t>Given the expression: 29x^2 + 29.</t>
        </is>
      </c>
      <c r="D8" s="5" t="inlineStr">
        <is>
          <t>Calculator Allowed. Which expression is equivalent to 29x^2 + 29?</t>
        </is>
      </c>
      <c r="E8" s="5" t="inlineStr">
        <is>
          <t>A. Lựa chọn A
B. Lựa chọn B
C. Lựa chọn C
D. Lựa chọn D</t>
        </is>
      </c>
      <c r="F8" s="14" t="n"/>
      <c r="G8" s="7">
        <f>IF(ISBLANK(F8), "⏳ Chờ đáp án", IF(UPPER(TRIM(F8))="A", "✅ Đúng", "❌ Sai"))</f>
        <v/>
      </c>
      <c r="H8" s="14" t="n"/>
      <c r="I8" s="7">
        <f>IF(ISBLANK(H8), "", IF(UPPER(TRIM(H8))="A", "✅ Đúng", "❌ Sai"))</f>
        <v/>
      </c>
      <c r="J8" s="14" t="n"/>
      <c r="K8" s="7">
        <f>IF(ISBLANK(J8), "", IF(UPPER(TRIM(J8))="A", "✅ Đúng", "❌ Sai"))</f>
        <v/>
      </c>
      <c r="L8" s="7">
        <f>COUNTIF(G8, "❌ Sai") + COUNTIF(I8, "❌ Sai") + COUNTIF(K8, "❌ Sai")</f>
        <v/>
      </c>
      <c r="M8" s="7">
        <f>IF(ISBLANK(F8), "⏳ Chờ làm", IF(G8="✅ Đúng", "✅ Đúng ngay L1", IF(I8="✅ Đúng", "✅ Đúng ở L2", IF(K8="✅ Đúng", "✅ Đúng ở L3", "❌ Chưa đúng sau 3 lần"))))</f>
        <v/>
      </c>
      <c r="N8" s="13">
        <f>IF(G8="✅ Đúng", 1, IF(I8="✅ Đúng", 0.667, IF(K8="✅ Đúng", 0.333, 0)))</f>
        <v/>
      </c>
      <c r="O8" s="5">
        <f>IF(ISBLANK(F8), "💡 Nhập đáp án vào Lần thử 1", IF(OR(G8="✅ Đúng", I8="✅ Đúng", K8="✅ Đúng"), "✨ Xuất sắc! Bạn đã làm đúng.", IF(NOT(ISBLANK(J8)), "💡 Gợi ý Tầng 3 (Chốt phương pháp): " &amp; "Đặt nhân tử chung ra ngoài dấu ngoặc và viết lại phần còn lại bên trong.", IF(NOT(ISBLANK(H8)), "💡 Gợi ý Tầng 2 (Manh mối cấu trúc &amp; Loại trừ): " &amp; "Quan sát các hệ số của từng số hạng để tìm nhân tử chung lớn nhất.", "💡 Gợi ý Tầng 1 (Định hướng bối cảnh): " &amp; "Bài toán yêu cầu tìm biểu thức đại số tương đương bằng cách nhóm thừa số chung."))))</f>
        <v/>
      </c>
      <c r="P8" s="5">
        <f>IF(OR(G8="✅ Đúng", I8="✅ Đúng", K8="✅ Đúng"), "Factoring Out Common Factor: 29x^2 + 29 = 29(x^2 + 1).", "🔒 Trả lời đúng để mở khóa Strategic Tip!")</f>
        <v/>
      </c>
    </row>
    <row r="9">
      <c r="A9" s="7" t="inlineStr">
        <is>
          <t>Q5</t>
        </is>
      </c>
      <c r="B9" s="5" t="inlineStr">
        <is>
          <t>Solving Linear Equations</t>
        </is>
      </c>
      <c r="C9" s="5" t="inlineStr">
        <is>
          <t>Given the equation: 2(x - 3) = 2(90).</t>
        </is>
      </c>
      <c r="D9" s="5" t="inlineStr">
        <is>
          <t>Calculator Allowed. What is the value of x - 3?</t>
        </is>
      </c>
      <c r="E9" s="5" t="inlineStr">
        <is>
          <t>A. Lựa chọn A
B. Lựa chọn B
C. Lựa chọn C
D. Lựa chọn D</t>
        </is>
      </c>
      <c r="F9" s="14" t="n"/>
      <c r="G9" s="7">
        <f>IF(ISBLANK(F9), "⏳ Chờ đáp án", IF(UPPER(TRIM(F9))="C", "✅ Đúng", "❌ Sai"))</f>
        <v/>
      </c>
      <c r="H9" s="14" t="n"/>
      <c r="I9" s="7">
        <f>IF(ISBLANK(H9), "", IF(UPPER(TRIM(H9))="C", "✅ Đúng", "❌ Sai"))</f>
        <v/>
      </c>
      <c r="J9" s="14" t="n"/>
      <c r="K9" s="7">
        <f>IF(ISBLANK(J9), "", IF(UPPER(TRIM(J9))="C", "✅ Đúng", "❌ Sai"))</f>
        <v/>
      </c>
      <c r="L9" s="7">
        <f>COUNTIF(G9, "❌ Sai") + COUNTIF(I9, "❌ Sai") + COUNTIF(K9, "❌ Sai")</f>
        <v/>
      </c>
      <c r="M9" s="7">
        <f>IF(ISBLANK(F9), "⏳ Chờ làm", IF(G9="✅ Đúng", "✅ Đúng ngay L1", IF(I9="✅ Đúng", "✅ Đúng ở L2", IF(K9="✅ Đúng", "✅ Đúng ở L3", "❌ Chưa đúng sau 3 lần"))))</f>
        <v/>
      </c>
      <c r="N9" s="13">
        <f>IF(G9="✅ Đúng", 1, IF(I9="✅ Đúng", 0.667, IF(K9="✅ Đúng", 0.333, 0)))</f>
        <v/>
      </c>
      <c r="O9" s="5">
        <f>IF(ISBLANK(F9), "💡 Nhập đáp án vào Lần thử 1", IF(OR(G9="✅ Đúng", I9="✅ Đúng", K9="✅ Đúng"), "✨ Xuất sắc! Bạn đã làm đúng.", IF(NOT(ISBLANK(J9)), "💡 Gợi ý Tầng 3 (Chốt phương pháp): " &amp; "Chia cả hai vế cho hệ số của ẩn số để tìm giá trị cần tìm.", IF(NOT(ISBLANK(H9)), "💡 Gợi ý Tầng 2 (Manh mối cấu trúc &amp; Loại trừ): " &amp; "Sử dụng các phép biến đổi tương đương để cô lập biến số về một vế.", "💡 Gợi ý Tầng 1 (Định hướng bối cảnh): " &amp; "Đây là phương trình tuyến tính một ẩn đơn giản."))))</f>
        <v/>
      </c>
      <c r="P9" s="5">
        <f>IF(OR(G9="✅ Đúng", I9="✅ Đúng", K9="✅ Đúng"), "Divide both sides by 2 directly: x - 3 = 90.", "🔒 Trả lời đúng để mở khóa Strategic Tip!")</f>
        <v/>
      </c>
    </row>
    <row r="10">
      <c r="A10" s="7" t="inlineStr">
        <is>
          <t>Q6</t>
        </is>
      </c>
      <c r="B10" s="5" t="inlineStr">
        <is>
          <t>Rates &amp; Unit Conversion</t>
        </is>
      </c>
      <c r="C10" s="5" t="inlineStr">
        <is>
          <t>A commercial water pump drains water from a reservoir at a constant rate of 180 gallons per minute.</t>
        </is>
      </c>
      <c r="D10" s="5" t="inlineStr">
        <is>
          <t>Calculator Allowed. At this rate, how many hours will it take to drain 32,400 gallons of water?</t>
        </is>
      </c>
      <c r="E10" s="5" t="inlineStr">
        <is>
          <t>A. Lựa chọn A
B. Lựa chọn B
C. Lựa chọn C
D. Lựa chọn D</t>
        </is>
      </c>
      <c r="F10" s="14" t="n"/>
      <c r="G10" s="7">
        <f>IF(ISBLANK(F10), "⏳ Chờ đáp án", IF(UPPER(TRIM(F10))="B", "✅ Đúng", "❌ Sai"))</f>
        <v/>
      </c>
      <c r="H10" s="14" t="n"/>
      <c r="I10" s="7">
        <f>IF(ISBLANK(H10), "", IF(UPPER(TRIM(H10))="B", "✅ Đúng", "❌ Sai"))</f>
        <v/>
      </c>
      <c r="J10" s="14" t="n"/>
      <c r="K10" s="7">
        <f>IF(ISBLANK(J10), "", IF(UPPER(TRIM(J10))="B", "✅ Đúng", "❌ Sai"))</f>
        <v/>
      </c>
      <c r="L10" s="7">
        <f>COUNTIF(G10, "❌ Sai") + COUNTIF(I10, "❌ Sai") + COUNTIF(K10, "❌ Sai")</f>
        <v/>
      </c>
      <c r="M10" s="7">
        <f>IF(ISBLANK(F10), "⏳ Chờ làm", IF(G10="✅ Đúng", "✅ Đúng ngay L1", IF(I10="✅ Đúng", "✅ Đúng ở L2", IF(K10="✅ Đúng", "✅ Đúng ở L3", "❌ Chưa đúng sau 3 lần"))))</f>
        <v/>
      </c>
      <c r="N10" s="13">
        <f>IF(G10="✅ Đúng", 1, IF(I10="✅ Đúng", 0.667, IF(K10="✅ Đúng", 0.333, 0)))</f>
        <v/>
      </c>
      <c r="O10" s="5">
        <f>IF(ISBLANK(F10), "💡 Nhập đáp án vào Lần thử 1", IF(OR(G10="✅ Đúng", I10="✅ Đúng", K10="✅ Đúng"), "✨ Xuất sắc! Bạn đã làm đúng.", IF(NOT(ISBLANK(J10)), "💡 Gợi ý Tầng 3 (Chốt phương pháp): " &amp; "Triệt tiêu các đơn vị trung gian để thu được đơn vị kết quả mong muốn.", IF(NOT(ISBLANK(H10)), "💡 Gợi ý Tầng 2 (Manh mối cấu trúc &amp; Loại trừ): " &amp; "Thiết lập tỉ lệ chuyển đổi đơn vị theo phương pháp dây chuyền.", "💡 Gợi ý Tầng 1 (Định hướng bối cảnh): " &amp; "Bài toán đổi đơn vị đo lường hoặc tính tốc độ trung bình."))))</f>
        <v/>
      </c>
      <c r="P10" s="5">
        <f>IF(OR(G10="✅ Đúng", I10="✅ Đúng", K10="✅ Đúng"), "Time (hours) = Total Gallons / (Rate per min * 60 min/hr) = 32,400 / (180 * 60) = 3.", "🔒 Trả lời đúng để mở khóa Strategic Tip!")</f>
        <v/>
      </c>
    </row>
    <row r="11">
      <c r="A11" s="7" t="inlineStr">
        <is>
          <t>Q7</t>
        </is>
      </c>
      <c r="B11" s="5" t="inlineStr">
        <is>
          <t>Linear Equations in Two Variables</t>
        </is>
      </c>
      <c r="C11" s="5" t="inlineStr">
        <is>
          <t>The equation 4.57x + 6.08y = 902.07 represents a situation where x is the number of smaller bottles sold and y is the number of larger bottles sold.</t>
        </is>
      </c>
      <c r="D11" s="5" t="inlineStr">
        <is>
          <t>Calculator Allowed. According to the equation, what is the price, in dollars, of each smaller bottle?</t>
        </is>
      </c>
      <c r="E11" s="5" t="inlineStr">
        <is>
          <t>Student-Produced Response (Grid-in)</t>
        </is>
      </c>
      <c r="F11" s="14" t="n"/>
      <c r="G11" s="7">
        <f>IF(ISBLANK(F11), "⏳ Chờ đáp án", IF(UPPER(TRIM(F11))="4.57", "✅ Đúng", "❌ Sai"))</f>
        <v/>
      </c>
      <c r="H11" s="14" t="n"/>
      <c r="I11" s="7">
        <f>IF(ISBLANK(H11), "", IF(UPPER(TRIM(H11))="4.57", "✅ Đúng", "❌ Sai"))</f>
        <v/>
      </c>
      <c r="J11" s="14" t="n"/>
      <c r="K11" s="7">
        <f>IF(ISBLANK(J11), "", IF(UPPER(TRIM(J11))="4.57", "✅ Đúng", "❌ Sai"))</f>
        <v/>
      </c>
      <c r="L11" s="7">
        <f>COUNTIF(G11, "❌ Sai") + COUNTIF(I11, "❌ Sai") + COUNTIF(K11, "❌ Sai")</f>
        <v/>
      </c>
      <c r="M11" s="7">
        <f>IF(ISBLANK(F11), "⏳ Chờ làm", IF(G11="✅ Đúng", "✅ Đúng ngay L1", IF(I11="✅ Đúng", "✅ Đúng ở L2", IF(K11="✅ Đúng", "✅ Đúng ở L3", "❌ Chưa đúng sau 3 lần"))))</f>
        <v/>
      </c>
      <c r="N11" s="13">
        <f>IF(G11="✅ Đúng", 1, IF(I11="✅ Đúng", 0.667, IF(K11="✅ Đúng", 0.333, 0)))</f>
        <v/>
      </c>
      <c r="O11" s="5">
        <f>IF(ISBLANK(F11), "💡 Nhập đáp án vào Lần thử 1", IF(OR(G11="✅ Đúng", I11="✅ Đúng", K11="✅ Đúng"), "✨ Xuất sắc! Bạn đã làm đúng.", IF(NOT(ISBLANK(J11)), "💡 Gợi ý Tầng 3 (Chốt phương pháp): " &amp; "Lập phương trình ax + by = C và biến đổi đại số để tìm đại lượng yêu cầu.", IF(NOT(ISBLANK(H11)), "💡 Gợi ý Tầng 2 (Manh mối cấu trúc &amp; Loại trừ): " &amp; "Xác định đơn giá cố định cho mỗi đại lượng và tổng chi phí toàn bộ.", "💡 Gợi ý Tầng 1 (Định hướng bối cảnh): " &amp; "Bài toán thiết lập phương trình tuyến tính hai ẩn dựa trên dữ kiện thực tế."))))</f>
        <v/>
      </c>
      <c r="P11" s="5">
        <f>IF(OR(G11="✅ Đúng", I11="✅ Đúng", K11="✅ Đúng"), "In Total Cost = a*x + b*y, the coefficient 'a' represents the price per unit x.", "🔒 Trả lời đúng để mở khóa Strategic Tip!")</f>
        <v/>
      </c>
    </row>
    <row r="12">
      <c r="A12" s="7" t="inlineStr">
        <is>
          <t>Q8</t>
        </is>
      </c>
      <c r="B12" s="5" t="inlineStr">
        <is>
          <t>Similar Triangles &amp; Proportions</t>
        </is>
      </c>
      <c r="C12" s="5" t="inlineStr">
        <is>
          <t>Triangle ABC is similar to triangle XYZ, where A, B, and C correspond to X, Y, and Z, respectively. In triangle ABC, AB = 180 and BC = 900. In triangle XYZ, YZ = 80.</t>
        </is>
      </c>
      <c r="D12" s="5" t="inlineStr">
        <is>
          <t>Calculator Allowed. What is the length of XY?</t>
        </is>
      </c>
      <c r="E12" s="5" t="inlineStr">
        <is>
          <t>A. Lựa chọn A
B. Lựa chọn B
C. Lựa chọn C
D. Lựa chọn D</t>
        </is>
      </c>
      <c r="F12" s="14" t="n"/>
      <c r="G12" s="7">
        <f>IF(ISBLANK(F12), "⏳ Chờ đáp án", IF(UPPER(TRIM(F12))="D", "✅ Đúng", "❌ Sai"))</f>
        <v/>
      </c>
      <c r="H12" s="14" t="n"/>
      <c r="I12" s="7">
        <f>IF(ISBLANK(H12), "", IF(UPPER(TRIM(H12))="D", "✅ Đúng", "❌ Sai"))</f>
        <v/>
      </c>
      <c r="J12" s="14" t="n"/>
      <c r="K12" s="7">
        <f>IF(ISBLANK(J12), "", IF(UPPER(TRIM(J12))="D", "✅ Đúng", "❌ Sai"))</f>
        <v/>
      </c>
      <c r="L12" s="7">
        <f>COUNTIF(G12, "❌ Sai") + COUNTIF(I12, "❌ Sai") + COUNTIF(K12, "❌ Sai")</f>
        <v/>
      </c>
      <c r="M12" s="7">
        <f>IF(ISBLANK(F12), "⏳ Chờ làm", IF(G12="✅ Đúng", "✅ Đúng ngay L1", IF(I12="✅ Đúng", "✅ Đúng ở L2", IF(K12="✅ Đúng", "✅ Đúng ở L3", "❌ Chưa đúng sau 3 lần"))))</f>
        <v/>
      </c>
      <c r="N12" s="13">
        <f>IF(G12="✅ Đúng", 1, IF(I12="✅ Đúng", 0.667, IF(K12="✅ Đúng", 0.333, 0)))</f>
        <v/>
      </c>
      <c r="O12" s="5">
        <f>IF(ISBLANK(F12), "💡 Nhập đáp án vào Lần thử 1", IF(OR(G12="✅ Đúng", I12="✅ Đúng", K12="✅ Đúng"), "✨ Xuất sắc! Bạn đã làm đúng.", IF(NOT(ISBLANK(J12)), "💡 Gợi ý Tầng 3 (Chốt phương pháp): " &amp; "Thay các độ dài đã biết vào tỉ lệ thức và giải phương trình tìm độ dài cạnh còn lại.", IF(NOT(ISBLANK(H12)), "💡 Gợi ý Tầng 2 (Manh mối cấu trúc &amp; Loại trừ): " &amp; "Lập tỉ lệ giữa các cặp cạnh tương ứng của hai tam giác.", "💡 Gợi ý Tầng 1 (Định hướng bối cảnh): " &amp; "Áp dụng tính chất của hai tam giác đồng dạng."))))</f>
        <v/>
      </c>
      <c r="P12" s="5">
        <f>IF(OR(G12="✅ Đúng", I12="✅ Đúng", K12="✅ Đúng"), "Similar Triangles Ratio: AB / XY = BC / YZ =&gt; 180 / XY = 900 / 80 =&gt; XY = 16.", "🔒 Trả lời đúng để mở khóa Strategic Tip!")</f>
        <v/>
      </c>
    </row>
    <row r="13">
      <c r="A13" s="7" t="inlineStr">
        <is>
          <t>Q9</t>
        </is>
      </c>
      <c r="B13" s="5" t="inlineStr">
        <is>
          <t>Absolute Value Equations</t>
        </is>
      </c>
      <c r="C13" s="5" t="inlineStr">
        <is>
          <t>Given the equation: |x - 43| = 0.</t>
        </is>
      </c>
      <c r="D13" s="5" t="inlineStr">
        <is>
          <t>Calculator Allowed. Which value is a solution to the given equation?</t>
        </is>
      </c>
      <c r="E13" s="5" t="inlineStr">
        <is>
          <t>A. Lựa chọn A
B. Lựa chọn B
C. Lựa chọn C
D. Lựa chọn D</t>
        </is>
      </c>
      <c r="F13" s="14" t="n"/>
      <c r="G13" s="7">
        <f>IF(ISBLANK(F13), "⏳ Chờ đáp án", IF(UPPER(TRIM(F13))="D", "✅ Đúng", "❌ Sai"))</f>
        <v/>
      </c>
      <c r="H13" s="14" t="n"/>
      <c r="I13" s="7">
        <f>IF(ISBLANK(H13), "", IF(UPPER(TRIM(H13))="D", "✅ Đúng", "❌ Sai"))</f>
        <v/>
      </c>
      <c r="J13" s="14" t="n"/>
      <c r="K13" s="7">
        <f>IF(ISBLANK(J13), "", IF(UPPER(TRIM(J13))="D", "✅ Đúng", "❌ Sai"))</f>
        <v/>
      </c>
      <c r="L13" s="7">
        <f>COUNTIF(G13, "❌ Sai") + COUNTIF(I13, "❌ Sai") + COUNTIF(K13, "❌ Sai")</f>
        <v/>
      </c>
      <c r="M13" s="7">
        <f>IF(ISBLANK(F13), "⏳ Chờ làm", IF(G13="✅ Đúng", "✅ Đúng ngay L1", IF(I13="✅ Đúng", "✅ Đúng ở L2", IF(K13="✅ Đúng", "✅ Đúng ở L3", "❌ Chưa đúng sau 3 lần"))))</f>
        <v/>
      </c>
      <c r="N13" s="13">
        <f>IF(G13="✅ Đúng", 1, IF(I13="✅ Đúng", 0.667, IF(K13="✅ Đúng", 0.333, 0)))</f>
        <v/>
      </c>
      <c r="O13" s="5">
        <f>IF(ISBLANK(F13), "💡 Nhập đáp án vào Lần thử 1", IF(OR(G13="✅ Đúng", I13="✅ Đúng", K13="✅ Đúng"), "✨ Xuất sắc! Bạn đã làm đúng.", IF(NOT(ISBLANK(J13)), "💡 Gợi ý Tầng 3 (Chốt phương pháp): " &amp; "Giải từng phương trình tuyến tính để tìm tập nghiệm.", IF(NOT(ISBLANK(H13)), "💡 Gợi ý Tầng 2 (Manh mối cấu trúc &amp; Loại trừ): " &amp; "Chia thành hai trường hợp: f(x) = c hoặc f(x) = -c.", "💡 Gợi ý Tầng 1 (Định hướng bối cảnh): " &amp; "Giải phương trình chứa dấu giá trị tuyệt đối |f(x)| = c."))))</f>
        <v/>
      </c>
      <c r="P13" s="5">
        <f>IF(OR(G13="✅ Đúng", I13="✅ Đúng", K13="✅ Đúng"), "|A| = 0 implies A = 0 =&gt; x = 43.", "🔒 Trả lời đúng để mở khóa Strategic Tip!")</f>
        <v/>
      </c>
    </row>
    <row r="14">
      <c r="A14" s="7" t="inlineStr">
        <is>
          <t>Q10</t>
        </is>
      </c>
      <c r="B14" s="5" t="inlineStr">
        <is>
          <t>Finding Line Equation from Points</t>
        </is>
      </c>
      <c r="C14" s="5" t="inlineStr">
        <is>
          <t>In the xy-plane, line k passes through the points (0, -8) and (1, -5).</t>
        </is>
      </c>
      <c r="D14" s="5" t="inlineStr">
        <is>
          <t>Calculator Allowed. Which equation defines line k?</t>
        </is>
      </c>
      <c r="E14" s="5" t="inlineStr">
        <is>
          <t>A. Lựa chọn A
B. Lựa chọn B
C. Lựa chọn C
D. Lựa chọn D</t>
        </is>
      </c>
      <c r="F14" s="14" t="n"/>
      <c r="G14" s="7">
        <f>IF(ISBLANK(F14), "⏳ Chờ đáp án", IF(UPPER(TRIM(F14))="C", "✅ Đúng", "❌ Sai"))</f>
        <v/>
      </c>
      <c r="H14" s="14" t="n"/>
      <c r="I14" s="7">
        <f>IF(ISBLANK(H14), "", IF(UPPER(TRIM(H14))="C", "✅ Đúng", "❌ Sai"))</f>
        <v/>
      </c>
      <c r="J14" s="14" t="n"/>
      <c r="K14" s="7">
        <f>IF(ISBLANK(J14), "", IF(UPPER(TRIM(J14))="C", "✅ Đúng", "❌ Sai"))</f>
        <v/>
      </c>
      <c r="L14" s="7">
        <f>COUNTIF(G14, "❌ Sai") + COUNTIF(I14, "❌ Sai") + COUNTIF(K14, "❌ Sai")</f>
        <v/>
      </c>
      <c r="M14" s="7">
        <f>IF(ISBLANK(F14), "⏳ Chờ làm", IF(G14="✅ Đúng", "✅ Đúng ngay L1", IF(I14="✅ Đúng", "✅ Đúng ở L2", IF(K14="✅ Đúng", "✅ Đúng ở L3", "❌ Chưa đúng sau 3 lần"))))</f>
        <v/>
      </c>
      <c r="N14" s="13">
        <f>IF(G14="✅ Đúng", 1, IF(I14="✅ Đúng", 0.667, IF(K14="✅ Đúng", 0.333, 0)))</f>
        <v/>
      </c>
      <c r="O14" s="5">
        <f>IF(ISBLANK(F14), "💡 Nhập đáp án vào Lần thử 1", IF(OR(G14="✅ Đúng", I14="✅ Đúng", K14="✅ Đúng"), "✨ Xuất sắc! Bạn đã làm đúng.", IF(NOT(ISBLANK(J14)), "💡 Gợi ý Tầng 3 (Chốt phương pháp): " &amp; "Thay tọa độ một điểm và m vào dạng y = mx + b để tìm tung độ gốc b.", IF(NOT(ISBLANK(H14)), "💡 Gợi ý Tầng 2 (Manh mối cấu trúc &amp; Loại trừ): " &amp; "Tính hệ số góc m bằng công thức (y2 - y1) / (x2 - x1).", "💡 Gợi ý Tầng 1 (Định hướng bối cảnh): " &amp; "Bài toán tìm phương trình đường thẳng đi qua hai điểm cho trước."))))</f>
        <v/>
      </c>
      <c r="P14" s="5">
        <f>IF(OR(G14="✅ Đúng", I14="✅ Đúng", K14="✅ Đúng"), "Slope m = (y2 - y1)/(x2 - x1) = 3, y-intercept = -8 =&gt; y = 3x - 8.", "🔒 Trả lời đúng để mở khóa Strategic Tip!")</f>
        <v/>
      </c>
    </row>
    <row r="15">
      <c r="A15" s="7" t="inlineStr">
        <is>
          <t>Q11</t>
        </is>
      </c>
      <c r="B15" s="5" t="inlineStr">
        <is>
          <t>Scatterplot Best-Fit Line Model</t>
        </is>
      </c>
      <c r="C15" s="5" t="inlineStr">
        <is>
          <t>A scatterplot shows data points with a positive slope passing near (0, 0.2) and (4, 9.2).</t>
        </is>
      </c>
      <c r="D15" s="5" t="inlineStr">
        <is>
          <t>Calculator Allowed. Which equation is the most appropriate linear model for the data?</t>
        </is>
      </c>
      <c r="E15" s="5" t="inlineStr">
        <is>
          <t>A. Lựa chọn A
B. Lựa chọn B
C. Lựa chọn C
D. Lựa chọn D</t>
        </is>
      </c>
      <c r="F15" s="14" t="n"/>
      <c r="G15" s="7">
        <f>IF(ISBLANK(F15), "⏳ Chờ đáp án", IF(UPPER(TRIM(F15))="A", "✅ Đúng", "❌ Sai"))</f>
        <v/>
      </c>
      <c r="H15" s="14" t="n"/>
      <c r="I15" s="7">
        <f>IF(ISBLANK(H15), "", IF(UPPER(TRIM(H15))="A", "✅ Đúng", "❌ Sai"))</f>
        <v/>
      </c>
      <c r="J15" s="14" t="n"/>
      <c r="K15" s="7">
        <f>IF(ISBLANK(J15), "", IF(UPPER(TRIM(J15))="A", "✅ Đúng", "❌ Sai"))</f>
        <v/>
      </c>
      <c r="L15" s="7">
        <f>COUNTIF(G15, "❌ Sai") + COUNTIF(I15, "❌ Sai") + COUNTIF(K15, "❌ Sai")</f>
        <v/>
      </c>
      <c r="M15" s="7">
        <f>IF(ISBLANK(F15), "⏳ Chờ làm", IF(G15="✅ Đúng", "✅ Đúng ngay L1", IF(I15="✅ Đúng", "✅ Đúng ở L2", IF(K15="✅ Đúng", "✅ Đúng ở L3", "❌ Chưa đúng sau 3 lần"))))</f>
        <v/>
      </c>
      <c r="N15" s="13">
        <f>IF(G15="✅ Đúng", 1, IF(I15="✅ Đúng", 0.667, IF(K15="✅ Đúng", 0.333, 0)))</f>
        <v/>
      </c>
      <c r="O15" s="5">
        <f>IF(ISBLANK(F15), "💡 Nhập đáp án vào Lần thử 1", IF(OR(G15="✅ Đúng", I15="✅ Đúng", K15="✅ Đúng"), "✨ Xuất sắc! Bạn đã làm đúng.", IF(NOT(ISBLANK(J15)), "💡 Gợi ý Tầng 3 (Chốt phương pháp): " &amp; "Đối chiếu hệ số góc và tung độ gốc ước lượng với các phương án.", IF(NOT(ISBLANK(H15)), "💡 Gợi ý Tầng 2 (Manh mối cấu trúc &amp; Loại trừ): " &amp; "Xác định xu hướng tăng/giảm (hệ số góc dương hay âm) và tung độ gốc trên đồ thị.", "💡 Gợi ý Tầng 1 (Định hướng bối cảnh): " &amp; "Phân tích đường tiệm cận/đường xu hướng (best-fit line) trên biểu đồ phân tán."))))</f>
        <v/>
      </c>
      <c r="P15" s="5">
        <f>IF(OR(G15="✅ Đúng", I15="✅ Đúng", K15="✅ Đúng"), "Linear Model: y = b + m*x where b ≈ 0.2 and m ≈ 2.25.", "🔒 Trả lời đúng để mở khóa Strategic Tip!")</f>
        <v/>
      </c>
    </row>
    <row r="16">
      <c r="A16" s="7" t="inlineStr">
        <is>
          <t>Q12</t>
        </is>
      </c>
      <c r="B16" s="5" t="inlineStr">
        <is>
          <t>Rational Function Intercepts</t>
        </is>
      </c>
      <c r="C16" s="5" t="inlineStr">
        <is>
          <t>Given the function y = (21 - x) / (ax + b), where a and b are positive constants.</t>
        </is>
      </c>
      <c r="D16" s="5" t="inlineStr">
        <is>
          <t>Calculator Allowed. What is the x-intercept of the graph in the xy-plane?</t>
        </is>
      </c>
      <c r="E16" s="5" t="inlineStr">
        <is>
          <t>A. Lựa chọn A
B. Lựa chọn B
C. Lựa chọn C
D. Lựa chọn D</t>
        </is>
      </c>
      <c r="F16" s="14" t="n"/>
      <c r="G16" s="7">
        <f>IF(ISBLANK(F16), "⏳ Chờ đáp án", IF(UPPER(TRIM(F16))="A", "✅ Đúng", "❌ Sai"))</f>
        <v/>
      </c>
      <c r="H16" s="14" t="n"/>
      <c r="I16" s="7">
        <f>IF(ISBLANK(H16), "", IF(UPPER(TRIM(H16))="A", "✅ Đúng", "❌ Sai"))</f>
        <v/>
      </c>
      <c r="J16" s="14" t="n"/>
      <c r="K16" s="7">
        <f>IF(ISBLANK(J16), "", IF(UPPER(TRIM(J16))="A", "✅ Đúng", "❌ Sai"))</f>
        <v/>
      </c>
      <c r="L16" s="7">
        <f>COUNTIF(G16, "❌ Sai") + COUNTIF(I16, "❌ Sai") + COUNTIF(K16, "❌ Sai")</f>
        <v/>
      </c>
      <c r="M16" s="7">
        <f>IF(ISBLANK(F16), "⏳ Chờ làm", IF(G16="✅ Đúng", "✅ Đúng ngay L1", IF(I16="✅ Đúng", "✅ Đúng ở L2", IF(K16="✅ Đúng", "✅ Đúng ở L3", "❌ Chưa đúng sau 3 lần"))))</f>
        <v/>
      </c>
      <c r="N16" s="13">
        <f>IF(G16="✅ Đúng", 1, IF(I16="✅ Đúng", 0.667, IF(K16="✅ Đúng", 0.333, 0)))</f>
        <v/>
      </c>
      <c r="O16" s="5">
        <f>IF(ISBLANK(F16), "💡 Nhập đáp án vào Lần thử 1", IF(OR(G16="✅ Đúng", I16="✅ Đúng", K16="✅ Đúng"), "✨ Xuất sắc! Bạn đã làm đúng.", IF(NOT(ISBLANK(J16)), "💡 Gợi ý Tầng 3 (Chốt phương pháp): " &amp; "Xác định tọa độ giao điểm tương ứng từ kết quả tính toán.", IF(NOT(ISBLANK(H16)), "💡 Gợi ý Tầng 2 (Manh mối cấu trúc &amp; Loại trừ): " &amp; "Để tìm y-intercept, cho x = 0; để tìm x-intercept, cho tử số bằng 0.", "💡 Gợi ý Tầng 1 (Định hướng bối cảnh): " &amp; "Tìm giao điểm của đồ thị hàm phân thức với các trục tọa độ."))))</f>
        <v/>
      </c>
      <c r="P16" s="5">
        <f>IF(OR(G16="✅ Đúng", I16="✅ Đúng", K16="✅ Đúng"), "x-intercept occurs when y = 0 =&gt; Numerator 21 - x = 0 =&gt; x = 21.", "🔒 Trả lời đúng để mở khóa Strategic Tip!")</f>
        <v/>
      </c>
    </row>
    <row r="17">
      <c r="A17" s="7" t="inlineStr">
        <is>
          <t>Q13</t>
        </is>
      </c>
      <c r="B17" s="5" t="inlineStr">
        <is>
          <t>Inequalities &amp; Speed/Distance</t>
        </is>
      </c>
      <c r="C17" s="5" t="inlineStr">
        <is>
          <t>A model estimates that a glacier moves between 17 and 24 centimeters per day.</t>
        </is>
      </c>
      <c r="D17" s="5" t="inlineStr">
        <is>
          <t>Calculator Allowed. Which inequality represents possible values of x, where x is the total distance, in centimeters, the glacier moves in 2 days?</t>
        </is>
      </c>
      <c r="E17" s="5" t="inlineStr">
        <is>
          <t>A. Lựa chọn A
B. Lựa chọn B
C. Lựa chọn C
D. Lựa chọn D</t>
        </is>
      </c>
      <c r="F17" s="14" t="n"/>
      <c r="G17" s="7">
        <f>IF(ISBLANK(F17), "⏳ Chờ đáp án", IF(UPPER(TRIM(F17))="D", "✅ Đúng", "❌ Sai"))</f>
        <v/>
      </c>
      <c r="H17" s="14" t="n"/>
      <c r="I17" s="7">
        <f>IF(ISBLANK(H17), "", IF(UPPER(TRIM(H17))="D", "✅ Đúng", "❌ Sai"))</f>
        <v/>
      </c>
      <c r="J17" s="14" t="n"/>
      <c r="K17" s="7">
        <f>IF(ISBLANK(J17), "", IF(UPPER(TRIM(J17))="D", "✅ Đúng", "❌ Sai"))</f>
        <v/>
      </c>
      <c r="L17" s="7">
        <f>COUNTIF(G17, "❌ Sai") + COUNTIF(I17, "❌ Sai") + COUNTIF(K17, "❌ Sai")</f>
        <v/>
      </c>
      <c r="M17" s="7">
        <f>IF(ISBLANK(F17), "⏳ Chờ làm", IF(G17="✅ Đúng", "✅ Đúng ngay L1", IF(I17="✅ Đúng", "✅ Đúng ở L2", IF(K17="✅ Đúng", "✅ Đúng ở L3", "❌ Chưa đúng sau 3 lần"))))</f>
        <v/>
      </c>
      <c r="N17" s="13">
        <f>IF(G17="✅ Đúng", 1, IF(I17="✅ Đúng", 0.667, IF(K17="✅ Đúng", 0.333, 0)))</f>
        <v/>
      </c>
      <c r="O17" s="5">
        <f>IF(ISBLANK(F17), "💡 Nhập đáp án vào Lần thử 1", IF(OR(G17="✅ Đúng", I17="✅ Đúng", K17="✅ Đúng"), "✨ Xuất sắc! Bạn đã làm đúng.", IF(NOT(ISBLANK(J17)), "💡 Gợi ý Tầng 3 (Chốt phương pháp): " &amp; "Đặt dấu bất đẳng thức (lớn hơn/nhỏ hơn) đúng theo yêu cầu giới hạn của đề bài.", IF(NOT(ISBLANK(H17)), "💡 Gợi ý Tầng 2 (Manh mối cấu trúc &amp; Loại trừ): " &amp; "Áp dụng công thức Quãng đường = Vận tốc x Thời gian.", "💡 Gợi ý Tầng 1 (Định hướng bối cảnh): " &amp; "Thiết lập bất phương trình liên quan đến quãng đường, vận tốc và thời gian."))))</f>
        <v/>
      </c>
      <c r="P17" s="5">
        <f>IF(OR(G17="✅ Đúng", I17="✅ Đúng", K17="✅ Đúng"), "Range for 2 days = [Min rate * 2, Max rate * 2] = [(17)(2), (24)(2)].", "🔒 Trả lời đúng để mở khóa Strategic Tip!")</f>
        <v/>
      </c>
    </row>
    <row r="18">
      <c r="A18" s="7" t="inlineStr">
        <is>
          <t>Q14</t>
        </is>
      </c>
      <c r="B18" s="5" t="inlineStr">
        <is>
          <t>Unit Conversion (Ancient Units)</t>
        </is>
      </c>
      <c r="C18" s="5" t="inlineStr">
        <is>
          <t>In an ancient Roman measurement system, a leuga was a unit of length equal to 7,500 pedes.</t>
        </is>
      </c>
      <c r="D18" s="5" t="inlineStr">
        <is>
          <t>Calculator Allowed. In this measurement system, how many pedes were equivalent to 4.6 leugas?</t>
        </is>
      </c>
      <c r="E18" s="5" t="inlineStr">
        <is>
          <t>Student-Produced Response (Grid-in)</t>
        </is>
      </c>
      <c r="F18" s="14" t="n"/>
      <c r="G18" s="7">
        <f>IF(ISBLANK(F18), "⏳ Chờ đáp án", IF(UPPER(TRIM(F18))="34500", "✅ Đúng", "❌ Sai"))</f>
        <v/>
      </c>
      <c r="H18" s="14" t="n"/>
      <c r="I18" s="7">
        <f>IF(ISBLANK(H18), "", IF(UPPER(TRIM(H18))="34500", "✅ Đúng", "❌ Sai"))</f>
        <v/>
      </c>
      <c r="J18" s="14" t="n"/>
      <c r="K18" s="7">
        <f>IF(ISBLANK(J18), "", IF(UPPER(TRIM(J18))="34500", "✅ Đúng", "❌ Sai"))</f>
        <v/>
      </c>
      <c r="L18" s="7">
        <f>COUNTIF(G18, "❌ Sai") + COUNTIF(I18, "❌ Sai") + COUNTIF(K18, "❌ Sai")</f>
        <v/>
      </c>
      <c r="M18" s="7">
        <f>IF(ISBLANK(F18), "⏳ Chờ làm", IF(G18="✅ Đúng", "✅ Đúng ngay L1", IF(I18="✅ Đúng", "✅ Đúng ở L2", IF(K18="✅ Đúng", "✅ Đúng ở L3", "❌ Chưa đúng sau 3 lần"))))</f>
        <v/>
      </c>
      <c r="N18" s="13">
        <f>IF(G18="✅ Đúng", 1, IF(I18="✅ Đúng", 0.667, IF(K18="✅ Đúng", 0.333, 0)))</f>
        <v/>
      </c>
      <c r="O18" s="5">
        <f>IF(ISBLANK(F18), "💡 Nhập đáp án vào Lần thử 1", IF(OR(G18="✅ Đúng", I18="✅ Đúng", K18="✅ Đúng"), "✨ Xuất sắc! Bạn đã làm đúng.", IF(NOT(ISBLANK(J18)), "💡 Gợi ý Tầng 3 (Chốt phương pháp): " &amp; "Nhân/chia chuỗi tỉ lệ để đổi sang đơn vị mục tiêu.", IF(NOT(ISBLANK(H18)), "💡 Gợi ý Tầng 2 (Manh mối cấu trúc &amp; Loại trừ): " &amp; "Sử dụng tỉ lệ chuyển đổi được cung cấp trong đề bài.", "💡 Gợi ý Tầng 1 (Định hướng bối cảnh): " &amp; "Bài toán chuyển đổi đơn vị đo lường cổ/đặc thù."))))</f>
        <v/>
      </c>
      <c r="P18" s="5">
        <f>IF(OR(G18="✅ Đúng", I18="✅ Đúng", K18="✅ Đúng"), "Unit Conversion: Pedes = 4.6 * 7,500 = 34,500.", "🔒 Trả lời đúng để mở khóa Strategic Tip!")</f>
        <v/>
      </c>
    </row>
    <row r="19">
      <c r="A19" s="7" t="inlineStr">
        <is>
          <t>Q15</t>
        </is>
      </c>
      <c r="B19" s="5" t="inlineStr">
        <is>
          <t>Geometry (Area &amp; Factoring)</t>
        </is>
      </c>
      <c r="C19" s="5" t="inlineStr">
        <is>
          <t>A rectangle has a width of n yards and a length of (n + 7) yards. The area of the rectangle is 198 square yards.</t>
        </is>
      </c>
      <c r="D19" s="5" t="inlineStr">
        <is>
          <t>Calculator Allowed. What is the value of n?</t>
        </is>
      </c>
      <c r="E19" s="5" t="inlineStr">
        <is>
          <t>Student-Produced Response (Grid-in)</t>
        </is>
      </c>
      <c r="F19" s="14" t="n"/>
      <c r="G19" s="7">
        <f>IF(ISBLANK(F19), "⏳ Chờ đáp án", IF(UPPER(TRIM(F19))="11", "✅ Đúng", "❌ Sai"))</f>
        <v/>
      </c>
      <c r="H19" s="14" t="n"/>
      <c r="I19" s="7">
        <f>IF(ISBLANK(H19), "", IF(UPPER(TRIM(H19))="11", "✅ Đúng", "❌ Sai"))</f>
        <v/>
      </c>
      <c r="J19" s="14" t="n"/>
      <c r="K19" s="7">
        <f>IF(ISBLANK(J19), "", IF(UPPER(TRIM(J19))="11", "✅ Đúng", "❌ Sai"))</f>
        <v/>
      </c>
      <c r="L19" s="7">
        <f>COUNTIF(G19, "❌ Sai") + COUNTIF(I19, "❌ Sai") + COUNTIF(K19, "❌ Sai")</f>
        <v/>
      </c>
      <c r="M19" s="7">
        <f>IF(ISBLANK(F19), "⏳ Chờ làm", IF(G19="✅ Đúng", "✅ Đúng ngay L1", IF(I19="✅ Đúng", "✅ Đúng ở L2", IF(K19="✅ Đúng", "✅ Đúng ở L3", "❌ Chưa đúng sau 3 lần"))))</f>
        <v/>
      </c>
      <c r="N19" s="13">
        <f>IF(G19="✅ Đúng", 1, IF(I19="✅ Đúng", 0.667, IF(K19="✅ Đúng", 0.333, 0)))</f>
        <v/>
      </c>
      <c r="O19" s="5">
        <f>IF(ISBLANK(F19), "💡 Nhập đáp án vào Lần thử 1", IF(OR(G19="✅ Đúng", I19="✅ Đúng", K19="✅ Đúng"), "✨ Xuất sắc! Bạn đã làm đúng.", IF(NOT(ISBLANK(J19)), "💡 Gợi ý Tầng 3 (Chốt phương pháp): " &amp; "Giải phương trình đại số để tìm độ dài kích thước chưa biết.", IF(NOT(ISBLANK(H19)), "💡 Gợi ý Tầng 2 (Manh mối cấu trúc &amp; Loại trừ): " &amp; "Viết biểu thức diện tích theo chiều dài và chiều rộng.", "💡 Gợi ý Tầng 1 (Định hướng bối cảnh): " &amp; "Áp dụng công thức tính diện tích hình học và phân tích đa thức thành nhân tử."))))</f>
        <v/>
      </c>
      <c r="P19" s="5">
        <f>IF(OR(G19="✅ Đúng", I19="✅ Đúng", K19="✅ Đúng"), "Area = n(n + 7) = 198 =&gt; n = 11 (since 11 * 18 = 198).", "🔒 Trả lời đúng để mở khóa Strategic Tip!")</f>
        <v/>
      </c>
    </row>
    <row r="20">
      <c r="A20" s="7" t="inlineStr">
        <is>
          <t>Q16</t>
        </is>
      </c>
      <c r="B20" s="5" t="inlineStr">
        <is>
          <t>Rearranging Formulas (Kinetic Energy)</t>
        </is>
      </c>
      <c r="C20" s="5" t="inlineStr">
        <is>
          <t>For an object with a mass of 55 kg, the given equation 55 = 2K / (v^2) relates kinetic energy K to speed v.</t>
        </is>
      </c>
      <c r="D20" s="5" t="inlineStr">
        <is>
          <t>Calculator Allowed. Which equation correctly expresses speed v in terms of K?</t>
        </is>
      </c>
      <c r="E20" s="5" t="inlineStr">
        <is>
          <t>A. Lựa chọn A
B. Lựa chọn B
C. Lựa chọn C
D. Lựa chọn D</t>
        </is>
      </c>
      <c r="F20" s="14" t="n"/>
      <c r="G20" s="7">
        <f>IF(ISBLANK(F20), "⏳ Chờ đáp án", IF(UPPER(TRIM(F20))="D", "✅ Đúng", "❌ Sai"))</f>
        <v/>
      </c>
      <c r="H20" s="14" t="n"/>
      <c r="I20" s="7">
        <f>IF(ISBLANK(H20), "", IF(UPPER(TRIM(H20))="D", "✅ Đúng", "❌ Sai"))</f>
        <v/>
      </c>
      <c r="J20" s="14" t="n"/>
      <c r="K20" s="7">
        <f>IF(ISBLANK(J20), "", IF(UPPER(TRIM(J20))="D", "✅ Đúng", "❌ Sai"))</f>
        <v/>
      </c>
      <c r="L20" s="7">
        <f>COUNTIF(G20, "❌ Sai") + COUNTIF(I20, "❌ Sai") + COUNTIF(K20, "❌ Sai")</f>
        <v/>
      </c>
      <c r="M20" s="7">
        <f>IF(ISBLANK(F20), "⏳ Chờ làm", IF(G20="✅ Đúng", "✅ Đúng ngay L1", IF(I20="✅ Đúng", "✅ Đúng ở L2", IF(K20="✅ Đúng", "✅ Đúng ở L3", "❌ Chưa đúng sau 3 lần"))))</f>
        <v/>
      </c>
      <c r="N20" s="13">
        <f>IF(G20="✅ Đúng", 1, IF(I20="✅ Đúng", 0.667, IF(K20="✅ Đúng", 0.333, 0)))</f>
        <v/>
      </c>
      <c r="O20" s="5">
        <f>IF(ISBLANK(F20), "💡 Nhập đáp án vào Lần thử 1", IF(OR(G20="✅ Đúng", I20="✅ Đúng", K20="✅ Đúng"), "✨ Xuất sắc! Bạn đã làm đúng.", IF(NOT(ISBLANK(J20)), "💡 Gợi ý Tầng 3 (Chốt phương pháp): " &amp; "Rút biến số mục tiêu ra một vế hoàn chỉnh.", IF(NOT(ISBLANK(H20)), "💡 Gợi ý Tầng 2 (Manh mối cấu trúc &amp; Loại trừ): " &amp; "Thực hiện các phép tính ngược (nhân/chia, lấy căn/bình phương) lên cả hai vế.", "💡 Gợi ý Tầng 1 (Định hướng bối cảnh): " &amp; "Biến đổi công thức vật lý/đại số để cô lập một biến số."))))</f>
        <v/>
      </c>
      <c r="P20" s="5">
        <f>IF(OR(G20="✅ Đúng", I20="✅ Đúng", K20="✅ Đúng"), "Isolate v: v^2 = 2K / 55 =&gt; v = sqrt(2K / 55).", "🔒 Trả lời đúng để mở khóa Strategic Tip!")</f>
        <v/>
      </c>
    </row>
    <row r="21" ht="15.75" customHeight="1" s="19">
      <c r="A21" s="7" t="inlineStr">
        <is>
          <t>Q17</t>
        </is>
      </c>
      <c r="B21" s="5" t="inlineStr">
        <is>
          <t>Exponential Growth Model</t>
        </is>
      </c>
      <c r="C21" s="5" t="inlineStr">
        <is>
          <t>A company's solar cell production grew by approximately 22% each year for 5 years following 2013, starting at 7,138 peak kilowatts in 2013.</t>
        </is>
      </c>
      <c r="D21" s="5" t="inlineStr">
        <is>
          <t>Calculator Allowed. Which function best models the solar cell production C(n) n years after 2013?</t>
        </is>
      </c>
      <c r="E21" s="5" t="inlineStr">
        <is>
          <t>A. Lựa chọn A
B. Lựa chọn B
C. Lựa chọn C
D. Lựa chọn D</t>
        </is>
      </c>
      <c r="F21" s="14" t="n"/>
      <c r="G21" s="7">
        <f>IF(ISBLANK(F21), "⏳ Chờ đáp án", IF(UPPER(TRIM(F21))="B", "✅ Đúng", "❌ Sai"))</f>
        <v/>
      </c>
      <c r="H21" s="14" t="n"/>
      <c r="I21" s="7">
        <f>IF(ISBLANK(H21), "", IF(UPPER(TRIM(H21))="B", "✅ Đúng", "❌ Sai"))</f>
        <v/>
      </c>
      <c r="J21" s="14" t="n"/>
      <c r="K21" s="7">
        <f>IF(ISBLANK(J21), "", IF(UPPER(TRIM(J21))="B", "✅ Đúng", "❌ Sai"))</f>
        <v/>
      </c>
      <c r="L21" s="7">
        <f>COUNTIF(G21, "❌ Sai") + COUNTIF(I21, "❌ Sai") + COUNTIF(K21, "❌ Sai")</f>
        <v/>
      </c>
      <c r="M21" s="7">
        <f>IF(ISBLANK(F21), "⏳ Chờ làm", IF(G21="✅ Đúng", "✅ Đúng ngay L1", IF(I21="✅ Đúng", "✅ Đúng ở L2", IF(K21="✅ Đúng", "✅ Đúng ở L3", "❌ Chưa đúng sau 3 lần"))))</f>
        <v/>
      </c>
      <c r="N21" s="13">
        <f>IF(G21="✅ Đúng", 1, IF(I21="✅ Đúng", 0.667, IF(K21="✅ Đúng", 0.333, 0)))</f>
        <v/>
      </c>
      <c r="O21" s="5">
        <f>IF(ISBLANK(F21), "💡 Nhập đáp án vào Lần thử 1", IF(OR(G21="✅ Đúng", I21="✅ Đúng", K21="✅ Đúng"), "✨ Xuất sắc! Bạn đã làm đúng.", IF(NOT(ISBLANK(J21)), "💡 Gợi ý Tầng 3 (Chốt phương pháp): " &amp; "Thay giá trị biến thời gian x vào mô hình để tính kết quả.", IF(NOT(ISBLANK(H21)), "💡 Gợi ý Tầng 2 (Manh mối cấu trúc &amp; Loại trừ): " &amp; "Xác định giá trị ban đầu 'a' và hệ số tăng trưởng 'b' từ đề bài.", "💡 Gợi ý Tầng 1 (Định hướng bối cảnh): " &amp; "Áp dụng mô hình hàm số mũ y = a(b)^x đại diện cho sự tăng trưởng."))))</f>
        <v/>
      </c>
      <c r="P21" s="5">
        <f>IF(OR(G21="✅ Đúng", I21="✅ Đúng", K21="✅ Đúng"), "Exponential Growth Model: P(t) = P0 * (1 + r)^t = 7,138 * (1.22)^n.", "🔒 Trả lời đúng để mở khóa Strategic Tip!")</f>
        <v/>
      </c>
    </row>
    <row r="22" ht="15.75" customHeight="1" s="19">
      <c r="A22" s="7" t="inlineStr">
        <is>
          <t>Q18</t>
        </is>
      </c>
      <c r="B22" s="5" t="inlineStr">
        <is>
          <t>Trigonometry (Special Right Triangle 45-45-90)</t>
        </is>
      </c>
      <c r="C22" s="5" t="inlineStr">
        <is>
          <t>In right triangle ABC with angle B = 90 deg and angle C = 45 deg, hypotenuse AC has length x = 19.</t>
        </is>
      </c>
      <c r="D22" s="5" t="inlineStr">
        <is>
          <t>Calculator Allowed. What is the value of sin A?</t>
        </is>
      </c>
      <c r="E22" s="5" t="inlineStr">
        <is>
          <t>A. Lựa chọn A
B. Lựa chọn B
C. Lựa chọn C
D. Lựa chọn D</t>
        </is>
      </c>
      <c r="F22" s="14" t="n"/>
      <c r="G22" s="7">
        <f>IF(ISBLANK(F22), "⏳ Chờ đáp án", IF(UPPER(TRIM(F22))="B", "✅ Đúng", "❌ Sai"))</f>
        <v/>
      </c>
      <c r="H22" s="14" t="n"/>
      <c r="I22" s="7">
        <f>IF(ISBLANK(H22), "", IF(UPPER(TRIM(H22))="B", "✅ Đúng", "❌ Sai"))</f>
        <v/>
      </c>
      <c r="J22" s="14" t="n"/>
      <c r="K22" s="7">
        <f>IF(ISBLANK(J22), "", IF(UPPER(TRIM(J22))="B", "✅ Đúng", "❌ Sai"))</f>
        <v/>
      </c>
      <c r="L22" s="7">
        <f>COUNTIF(G22, "❌ Sai") + COUNTIF(I22, "❌ Sai") + COUNTIF(K22, "❌ Sai")</f>
        <v/>
      </c>
      <c r="M22" s="7">
        <f>IF(ISBLANK(F22), "⏳ Chờ làm", IF(G22="✅ Đúng", "✅ Đúng ngay L1", IF(I22="✅ Đúng", "✅ Đúng ở L2", IF(K22="✅ Đúng", "✅ Đúng ở L3", "❌ Chưa đúng sau 3 lần"))))</f>
        <v/>
      </c>
      <c r="N22" s="13">
        <f>IF(G22="✅ Đúng", 1, IF(I22="✅ Đúng", 0.667, IF(K22="✅ Đúng", 0.333, 0)))</f>
        <v/>
      </c>
      <c r="O22" s="5">
        <f>IF(ISBLANK(F22), "💡 Nhập đáp án vào Lần thử 1", IF(OR(G22="✅ Đúng", I22="✅ Đúng", K22="✅ Đúng"), "✨ Xuất sắc! Bạn đã làm đúng.", IF(NOT(ISBLANK(J22)), "💡 Gợi ý Tầng 3 (Chốt phương pháp): " &amp; "Sử dụng tỉ lệ cạnh để tính độ dài cạnh cần tìm.", IF(NOT(ISBLANK(H22)), "💡 Gợi ý Tầng 2 (Manh mối cấu trúc &amp; Loại trừ): " &amp; "Nhớ tỉ lệ cạnh trong tam giác vuông cân là 1 : 1 : sqrt(2).", "💡 Gợi ý Tầng 1 (Định hướng bối cảnh): " &amp; "Áp dụng tỉ số lượng giác trong tam giác vuông đặc biệt 45-45-90."))))</f>
        <v/>
      </c>
      <c r="P22" s="5">
        <f>IF(OR(G22="✅ Đúng", I22="✅ Đúng", K22="✅ Đúng"), "Special Right Triangle 45-45-90: sin(45 deg) = 1/sqrt(2).", "🔒 Trả lời đúng để mở khóa Strategic Tip!")</f>
        <v/>
      </c>
    </row>
    <row r="23" ht="15.75" customHeight="1" s="19">
      <c r="A23" s="7" t="inlineStr">
        <is>
          <t>Q19</t>
        </is>
      </c>
      <c r="B23" s="5" t="inlineStr">
        <is>
          <t>3D Geometry (Right Square Prism Volume)</t>
        </is>
      </c>
      <c r="C23" s="5" t="inlineStr">
        <is>
          <t>A right square prism has a height of 15 units and a volume of 1,815 cubic units.</t>
        </is>
      </c>
      <c r="D23" s="5" t="inlineStr">
        <is>
          <t>Calculator Allowed. What is the length, in units, of an edge of the base?</t>
        </is>
      </c>
      <c r="E23" s="5" t="inlineStr">
        <is>
          <t>Student-Produced Response (Grid-in)</t>
        </is>
      </c>
      <c r="F23" s="14" t="n"/>
      <c r="G23" s="7">
        <f>IF(ISBLANK(F23), "⏳ Chờ đáp án", IF(UPPER(TRIM(F23))="11", "✅ Đúng", "❌ Sai"))</f>
        <v/>
      </c>
      <c r="H23" s="14" t="n"/>
      <c r="I23" s="7">
        <f>IF(ISBLANK(H23), "", IF(UPPER(TRIM(H23))="11", "✅ Đúng", "❌ Sai"))</f>
        <v/>
      </c>
      <c r="J23" s="14" t="n"/>
      <c r="K23" s="7">
        <f>IF(ISBLANK(J23), "", IF(UPPER(TRIM(J23))="11", "✅ Đúng", "❌ Sai"))</f>
        <v/>
      </c>
      <c r="L23" s="7">
        <f>COUNTIF(G23, "❌ Sai") + COUNTIF(I23, "❌ Sai") + COUNTIF(K23, "❌ Sai")</f>
        <v/>
      </c>
      <c r="M23" s="7">
        <f>IF(ISBLANK(F23), "⏳ Chờ làm", IF(G23="✅ Đúng", "✅ Đúng ngay L1", IF(I23="✅ Đúng", "✅ Đúng ở L2", IF(K23="✅ Đúng", "✅ Đúng ở L3", "❌ Chưa đúng sau 3 lần"))))</f>
        <v/>
      </c>
      <c r="N23" s="13">
        <f>IF(G23="✅ Đúng", 1, IF(I23="✅ Đúng", 0.667, IF(K23="✅ Đúng", 0.333, 0)))</f>
        <v/>
      </c>
      <c r="O23" s="5">
        <f>IF(ISBLANK(F23), "💡 Nhập đáp án vào Lần thử 1", IF(OR(G23="✅ Đúng", I23="✅ Đúng", K23="✅ Đúng"), "✨ Xuất sắc! Bạn đã làm đúng.", IF(NOT(ISBLANK(J23)), "💡 Gợi ý Tầng 3 (Chốt phương pháp): " &amp; "Thay độ dài cạnh đáy và chiều cao vào công thức để tính thể tích.", IF(NOT(ISBLANK(H23)), "💡 Gợi ý Tầng 2 (Manh mối cấu trúc &amp; Loại trừ): " &amp; "Áp dụng công thức Thể tích = Diện tích đáy x Chiều cao.", "💡 Gợi ý Tầng 1 (Định hướng bối cảnh): " &amp; "Tính thể tích khối lăng trụ đứng đáy là hình vuông."))))</f>
        <v/>
      </c>
      <c r="P23" s="5">
        <f>IF(OR(G23="✅ Đúng", I23="✅ Đúng", K23="✅ Đúng"), "Volume of Square Prism = s^2 * h =&gt; s^2 = 1815 / 15 = 121 =&gt; s = 11.", "🔒 Trả lời đúng để mở khóa Strategic Tip!")</f>
        <v/>
      </c>
    </row>
    <row r="24" ht="15.75" customHeight="1" s="19">
      <c r="A24" s="7" t="inlineStr">
        <is>
          <t>Q20</t>
        </is>
      </c>
      <c r="B24" s="5" t="inlineStr">
        <is>
          <t>Systems of Non-linear Equations</t>
        </is>
      </c>
      <c r="C24" s="5" t="inlineStr">
        <is>
          <t>System of equations: y = x - 1 and y = 19(x - 1)^2 - 20.</t>
        </is>
      </c>
      <c r="D24" s="5" t="inlineStr">
        <is>
          <t>Calculator Allowed. What is one possible value of x - 1?</t>
        </is>
      </c>
      <c r="E24" s="5" t="inlineStr">
        <is>
          <t>A. Lựa chọn A
B. Lựa chọn B
C. Lựa chọn C
D. Lựa chọn D</t>
        </is>
      </c>
      <c r="F24" s="14" t="n"/>
      <c r="G24" s="7">
        <f>IF(ISBLANK(F24), "⏳ Chờ đáp án", IF(UPPER(TRIM(F24))="C", "✅ Đúng", "❌ Sai"))</f>
        <v/>
      </c>
      <c r="H24" s="14" t="n"/>
      <c r="I24" s="7">
        <f>IF(ISBLANK(H24), "", IF(UPPER(TRIM(H24))="C", "✅ Đúng", "❌ Sai"))</f>
        <v/>
      </c>
      <c r="J24" s="14" t="n"/>
      <c r="K24" s="7">
        <f>IF(ISBLANK(J24), "", IF(UPPER(TRIM(J24))="C", "✅ Đúng", "❌ Sai"))</f>
        <v/>
      </c>
      <c r="L24" s="7">
        <f>COUNTIF(G24, "❌ Sai") + COUNTIF(I24, "❌ Sai") + COUNTIF(K24, "❌ Sai")</f>
        <v/>
      </c>
      <c r="M24" s="7">
        <f>IF(ISBLANK(F24), "⏳ Chờ làm", IF(G24="✅ Đúng", "✅ Đúng ngay L1", IF(I24="✅ Đúng", "✅ Đúng ở L2", IF(K24="✅ Đúng", "✅ Đúng ở L3", "❌ Chưa đúng sau 3 lần"))))</f>
        <v/>
      </c>
      <c r="N24" s="13">
        <f>IF(G24="✅ Đúng", 1, IF(I24="✅ Đúng", 0.667, IF(K24="✅ Đúng", 0.333, 0)))</f>
        <v/>
      </c>
      <c r="O24" s="5">
        <f>IF(ISBLANK(F24), "💡 Nhập đáp án vào Lần thử 1", IF(OR(G24="✅ Đúng", I24="✅ Đúng", K24="✅ Đúng"), "✨ Xuất sắc! Bạn đã làm đúng.", IF(NOT(ISBLANK(J24)), "💡 Gợi ý Tầng 3 (Chốt phương pháp): " &amp; "Giải phương trình bậc hai thu được để tìm số nghiệm.", IF(NOT(ISBLANK(H24)), "💡 Gợi ý Tầng 2 (Manh mối cấu trúc &amp; Loại trừ): " &amp; "Rút một biến từ phương trình tuyến tính và thế vào phương trình phi tuyến.", "💡 Gợi ý Tầng 1 (Định hướng bối cảnh): " &amp; "Giải hệ phương trình gồm một phương trình tuyến tính và một phương trình phi tuyến."))))</f>
        <v/>
      </c>
      <c r="P24" s="5">
        <f>IF(OR(G24="✅ Đúng", I24="✅ Đúng", K24="✅ Đúng"), "Substitute u = x - 1 =&gt; 19u^2 - u - 20 = 0 =&gt; u = 1 or u = 20/19.", "🔒 Trả lời đúng để mở khóa Strategic Tip!")</f>
        <v/>
      </c>
    </row>
    <row r="25" ht="15.75" customHeight="1" s="19">
      <c r="A25" s="7" t="inlineStr">
        <is>
          <t>Q21</t>
        </is>
      </c>
      <c r="B25" s="5" t="inlineStr">
        <is>
          <t>Systems of Linear Equations (No Solution)</t>
        </is>
      </c>
      <c r="C25" s="5" t="inlineStr">
        <is>
          <t>System of equations: 18x + 6y = 8y + 9 and ty = 1/5 + 9x.</t>
        </is>
      </c>
      <c r="D25" s="5" t="inlineStr">
        <is>
          <t>Calculator Allowed. In the given system, t is a constant. If the system has no solution, what is the value of t?</t>
        </is>
      </c>
      <c r="E25" s="5" t="inlineStr">
        <is>
          <t>Student-Produced Response (Grid-in)</t>
        </is>
      </c>
      <c r="F25" s="14" t="n"/>
      <c r="G25" s="7">
        <f>IF(ISBLANK(F25), "⏳ Chờ đáp án", IF(UPPER(TRIM(F25))="1", "✅ Đúng", "❌ Sai"))</f>
        <v/>
      </c>
      <c r="H25" s="14" t="n"/>
      <c r="I25" s="7">
        <f>IF(ISBLANK(H25), "", IF(UPPER(TRIM(H25))="1", "✅ Đúng", "❌ Sai"))</f>
        <v/>
      </c>
      <c r="J25" s="14" t="n"/>
      <c r="K25" s="7">
        <f>IF(ISBLANK(J25), "", IF(UPPER(TRIM(J25))="1", "✅ Đúng", "❌ Sai"))</f>
        <v/>
      </c>
      <c r="L25" s="7">
        <f>COUNTIF(G25, "❌ Sai") + COUNTIF(I25, "❌ Sai") + COUNTIF(K25, "❌ Sai")</f>
        <v/>
      </c>
      <c r="M25" s="7">
        <f>IF(ISBLANK(F25), "⏳ Chờ làm", IF(G25="✅ Đúng", "✅ Đúng ngay L1", IF(I25="✅ Đúng", "✅ Đúng ở L2", IF(K25="✅ Đúng", "✅ Đúng ở L3", "❌ Chưa đúng sau 3 lần"))))</f>
        <v/>
      </c>
      <c r="N25" s="13">
        <f>IF(G25="✅ Đúng", 1, IF(I25="✅ Đúng", 0.667, IF(K25="✅ Đúng", 0.333, 0)))</f>
        <v/>
      </c>
      <c r="O25" s="5">
        <f>IF(ISBLANK(F25), "💡 Nhập đáp án vào Lần thử 1", IF(OR(G25="✅ Đúng", I25="✅ Đúng", K25="✅ Đúng"), "✨ Xuất sắc! Bạn đã làm đúng.", IF(NOT(ISBLANK(J25)), "💡 Gợi ý Tầng 3 (Chốt phương pháp): " &amp; "Thiết lập tỉ lệ thức giữa các hệ số và giải tìm hằng số c.", IF(NOT(ISBLANK(H25)), "💡 Gợi ý Tầng 2 (Manh mối cấu trúc &amp; Loại trừ): " &amp; "Hệ vô nghiệm khi hai đường thẳng song song: tỉ số hệ số x và y bằng nhau nhưng khác tỉ số hằng số.", "💡 Gợi ý Tầng 1 (Định hướng bối cảnh): " &amp; "Xác định điều kiện để hệ phương trình tuyến tính vô nghiệm."))))</f>
        <v/>
      </c>
      <c r="P25" s="5">
        <f>IF(OR(G25="✅ Đúng", I25="✅ Đúng", K25="✅ Đúng"), "Parallel Lines Condition: m1 = m2 =&gt; t = 1.", "🔒 Trả lời đúng để mở khóa Strategic Tip!")</f>
        <v/>
      </c>
    </row>
    <row r="26" ht="15.75" customHeight="1" s="19">
      <c r="A26" s="7" t="inlineStr">
        <is>
          <t>Q22</t>
        </is>
      </c>
      <c r="B26" s="5" t="inlineStr">
        <is>
          <t>Circle Geometry (Radius from Intercepts)</t>
        </is>
      </c>
      <c r="C26" s="5" t="inlineStr">
        <is>
          <t>A circle in the xy-plane has center (24, 5) and y-intercepts (0, -27) and (0, 37).</t>
        </is>
      </c>
      <c r="D26" s="5" t="inlineStr">
        <is>
          <t>Calculator Allowed. What is the radius of this circle?</t>
        </is>
      </c>
      <c r="E26" s="5" t="inlineStr">
        <is>
          <t>A. Lựa chọn A
B. Lựa chọn B
C. Lựa chọn C
D. Lựa chọn D</t>
        </is>
      </c>
      <c r="F26" s="14" t="n"/>
      <c r="G26" s="7">
        <f>IF(ISBLANK(F26), "⏳ Chờ đáp án", IF(UPPER(TRIM(F26))="A", "✅ Đúng", "❌ Sai"))</f>
        <v/>
      </c>
      <c r="H26" s="14" t="n"/>
      <c r="I26" s="7">
        <f>IF(ISBLANK(H26), "", IF(UPPER(TRIM(H26))="A", "✅ Đúng", "❌ Sai"))</f>
        <v/>
      </c>
      <c r="J26" s="14" t="n"/>
      <c r="K26" s="7">
        <f>IF(ISBLANK(J26), "", IF(UPPER(TRIM(J26))="A", "✅ Đúng", "❌ Sai"))</f>
        <v/>
      </c>
      <c r="L26" s="7">
        <f>COUNTIF(G26, "❌ Sai") + COUNTIF(I26, "❌ Sai") + COUNTIF(K26, "❌ Sai")</f>
        <v/>
      </c>
      <c r="M26" s="7">
        <f>IF(ISBLANK(F26), "⏳ Chờ làm", IF(G26="✅ Đúng", "✅ Đúng ngay L1", IF(I26="✅ Đúng", "✅ Đúng ở L2", IF(K26="✅ Đúng", "✅ Đúng ở L3", "❌ Chưa đúng sau 3 lần"))))</f>
        <v/>
      </c>
      <c r="N26" s="13">
        <f>IF(G26="✅ Đúng", 1, IF(I26="✅ Đúng", 0.667, IF(K26="✅ Đúng", 0.333, 0)))</f>
        <v/>
      </c>
      <c r="O26" s="5">
        <f>IF(ISBLANK(F26), "💡 Nhập đáp án vào Lần thử 1", IF(OR(G26="✅ Đúng", I26="✅ Đúng", K26="✅ Đúng"), "✨ Xuất sắc! Bạn đã làm đúng.", IF(NOT(ISBLANK(J26)), "💡 Gợi ý Tầng 3 (Chốt phương pháp): " &amp; "Lấy căn bậc hai của vế phải r^2 để tìm bán kính r.", IF(NOT(ISBLANK(H26)), "💡 Gợi ý Tầng 2 (Manh mối cấu trúc &amp; Loại trừ): " &amp; "Đưa phương trình đường tròn về dạng chuẩn (x - h)^2 + (y - k)^2 = r^2.", "💡 Gợi ý Tầng 1 (Định hướng bối cảnh): " &amp; "Xác định bán kính đường tròn từ phương trình hoặc giao điểm với trục tọa độ."))))</f>
        <v/>
      </c>
      <c r="P26" s="5">
        <f>IF(OR(G26="✅ Đúng", I26="✅ Đúng", K26="✅ Đúng"), "Distance Formula: r = sqrt((x_center - 0)^2 + (y_center - y_int)^2) = sqrt(24^2 + 32^2) = 40.", "🔒 Trả lời đúng để mở khóa Strategic Tip!")</f>
        <v/>
      </c>
    </row>
    <row r="27" ht="15.75" customHeight="1" s="19"/>
    <row r="28" ht="15.75" customHeight="1" s="19"/>
    <row r="29" ht="15.75" customHeight="1" s="19"/>
    <row r="30" ht="15.75" customHeight="1" s="19"/>
    <row r="31" ht="15.75" customHeight="1" s="19"/>
    <row r="32" ht="15.75" customHeight="1" s="19"/>
    <row r="33" ht="15.75" customHeight="1" s="19"/>
    <row r="34" ht="15.75" customHeight="1" s="19"/>
    <row r="35" ht="15.75" customHeight="1" s="19"/>
    <row r="36" ht="15.75" customHeight="1" s="19"/>
    <row r="37" ht="15.75" customHeight="1" s="19"/>
    <row r="38" ht="15.75" customHeight="1" s="19"/>
    <row r="39" ht="15.75" customHeight="1" s="19"/>
    <row r="40" ht="15.75" customHeight="1" s="19"/>
    <row r="41" ht="15.75" customHeight="1" s="19"/>
    <row r="42" ht="15.75" customHeight="1" s="19"/>
    <row r="43" ht="15.75" customHeight="1" s="19"/>
    <row r="44" ht="15.75" customHeight="1" s="19"/>
    <row r="45" ht="15.75" customHeight="1" s="19"/>
    <row r="46" ht="15.75" customHeight="1" s="19"/>
    <row r="47" ht="15.75" customHeight="1" s="19"/>
    <row r="48" ht="15.75" customHeight="1" s="19"/>
    <row r="49" ht="15.75" customHeight="1" s="19"/>
    <row r="50" ht="15.75" customHeight="1" s="19"/>
    <row r="51" ht="15.75" customHeight="1" s="19"/>
    <row r="52" ht="15.75" customHeight="1" s="19"/>
    <row r="53" ht="15.75" customHeight="1" s="19"/>
    <row r="54" ht="15.75" customHeight="1" s="19"/>
    <row r="55" ht="15.75" customHeight="1" s="19"/>
    <row r="56" ht="15.75" customHeight="1" s="19"/>
    <row r="57" ht="15.75" customHeight="1" s="19"/>
    <row r="58" ht="15.75" customHeight="1" s="19"/>
    <row r="59" ht="15.75" customHeight="1" s="19"/>
    <row r="60" ht="15.75" customHeight="1" s="19"/>
    <row r="61" ht="15.75" customHeight="1" s="19"/>
    <row r="62" ht="15.75" customHeight="1" s="19"/>
    <row r="63" ht="15.75" customHeight="1" s="19"/>
    <row r="64" ht="15.75" customHeight="1" s="19"/>
    <row r="65" ht="15.75" customHeight="1" s="19"/>
    <row r="66" ht="15.75" customHeight="1" s="19"/>
    <row r="67" ht="15.75" customHeight="1" s="19"/>
    <row r="68" ht="15.75" customHeight="1" s="19"/>
    <row r="69" ht="15.75" customHeight="1" s="19"/>
    <row r="70" ht="15.75" customHeight="1" s="19"/>
    <row r="71" ht="15.75" customHeight="1" s="19"/>
    <row r="72" ht="15.75" customHeight="1" s="19"/>
    <row r="73" ht="15.75" customHeight="1" s="19"/>
    <row r="74" ht="15.75" customHeight="1" s="19"/>
    <row r="75" ht="15.75" customHeight="1" s="19"/>
    <row r="76" ht="15.75" customHeight="1" s="19"/>
    <row r="77" ht="15.75" customHeight="1" s="19"/>
    <row r="78" ht="15.75" customHeight="1" s="19"/>
    <row r="79" ht="15.75" customHeight="1" s="19"/>
    <row r="80" ht="15.75" customHeight="1" s="19"/>
    <row r="81" ht="15.75" customHeight="1" s="19"/>
    <row r="82" ht="15.75" customHeight="1" s="19"/>
    <row r="83" ht="15.75" customHeight="1" s="19"/>
    <row r="84" ht="15.75" customHeight="1" s="19"/>
    <row r="85" ht="15.75" customHeight="1" s="19"/>
    <row r="86" ht="15.75" customHeight="1" s="19"/>
    <row r="87" ht="15.75" customHeight="1" s="19"/>
    <row r="88" ht="15.75" customHeight="1" s="19"/>
    <row r="89" ht="15.75" customHeight="1" s="19"/>
    <row r="90" ht="15.75" customHeight="1" s="19"/>
    <row r="91" ht="15.75" customHeight="1" s="19"/>
    <row r="92" ht="15.75" customHeight="1" s="19"/>
    <row r="93" ht="15.75" customHeight="1" s="19"/>
    <row r="94" ht="15.75" customHeight="1" s="19"/>
    <row r="95" ht="15.75" customHeight="1" s="19"/>
    <row r="96" ht="15.75" customHeight="1" s="19"/>
    <row r="97" ht="15.75" customHeight="1" s="19"/>
    <row r="98" ht="15.75" customHeight="1" s="19"/>
    <row r="99" ht="15.75" customHeight="1" s="19"/>
    <row r="100" ht="15.75" customHeight="1" s="19"/>
    <row r="101" ht="15.75" customHeight="1" s="19"/>
    <row r="102" ht="15.75" customHeight="1" s="19"/>
    <row r="103" ht="15.75" customHeight="1" s="19"/>
    <row r="104" ht="15.75" customHeight="1" s="19"/>
    <row r="105" ht="15.75" customHeight="1" s="19"/>
    <row r="106" ht="15.75" customHeight="1" s="19"/>
    <row r="107" ht="15.75" customHeight="1" s="19"/>
    <row r="108" ht="15.75" customHeight="1" s="19"/>
    <row r="109" ht="15.75" customHeight="1" s="19"/>
    <row r="110" ht="15.75" customHeight="1" s="19"/>
    <row r="111" ht="15.75" customHeight="1" s="19"/>
    <row r="112" ht="15.75" customHeight="1" s="19"/>
    <row r="113" ht="15.75" customHeight="1" s="19"/>
    <row r="114" ht="15.75" customHeight="1" s="19"/>
    <row r="115" ht="15.75" customHeight="1" s="19"/>
    <row r="116" ht="15.75" customHeight="1" s="19"/>
    <row r="117" ht="15.75" customHeight="1" s="19"/>
    <row r="118" ht="15.75" customHeight="1" s="19"/>
    <row r="119" ht="15.75" customHeight="1" s="19"/>
    <row r="120" ht="15.75" customHeight="1" s="19"/>
    <row r="121" ht="15.75" customHeight="1" s="19"/>
    <row r="122" ht="15.75" customHeight="1" s="19"/>
    <row r="123" ht="15.75" customHeight="1" s="19"/>
    <row r="124" ht="15.75" customHeight="1" s="19"/>
    <row r="125" ht="15.75" customHeight="1" s="19"/>
    <row r="126" ht="15.75" customHeight="1" s="19"/>
    <row r="127" ht="15.75" customHeight="1" s="19"/>
    <row r="128" ht="15.75" customHeight="1" s="19"/>
    <row r="129" ht="15.75" customHeight="1" s="19"/>
    <row r="130" ht="15.75" customHeight="1" s="19"/>
    <row r="131" ht="15.75" customHeight="1" s="19"/>
    <row r="132" ht="15.75" customHeight="1" s="19"/>
    <row r="133" ht="15.75" customHeight="1" s="19"/>
    <row r="134" ht="15.75" customHeight="1" s="19"/>
    <row r="135" ht="15.75" customHeight="1" s="19"/>
    <row r="136" ht="15.75" customHeight="1" s="19"/>
    <row r="137" ht="15.75" customHeight="1" s="19"/>
    <row r="138" ht="15.75" customHeight="1" s="19"/>
    <row r="139" ht="15.75" customHeight="1" s="19"/>
    <row r="140" ht="15.75" customHeight="1" s="19"/>
    <row r="141" ht="15.75" customHeight="1" s="19"/>
    <row r="142" ht="15.75" customHeight="1" s="19"/>
    <row r="143" ht="15.75" customHeight="1" s="19"/>
    <row r="144" ht="15.75" customHeight="1" s="19"/>
    <row r="145" ht="15.75" customHeight="1" s="19"/>
    <row r="146" ht="15.75" customHeight="1" s="19"/>
    <row r="147" ht="15.75" customHeight="1" s="19"/>
    <row r="148" ht="15.75" customHeight="1" s="19"/>
    <row r="149" ht="15.75" customHeight="1" s="19"/>
    <row r="150" ht="15.75" customHeight="1" s="19"/>
    <row r="151" ht="15.75" customHeight="1" s="19"/>
    <row r="152" ht="15.75" customHeight="1" s="19"/>
    <row r="153" ht="15.75" customHeight="1" s="19"/>
    <row r="154" ht="15.75" customHeight="1" s="19"/>
    <row r="155" ht="15.75" customHeight="1" s="19"/>
    <row r="156" ht="15.75" customHeight="1" s="19"/>
    <row r="157" ht="15.75" customHeight="1" s="19"/>
    <row r="158" ht="15.75" customHeight="1" s="19"/>
    <row r="159" ht="15.75" customHeight="1" s="19"/>
    <row r="160" ht="15.75" customHeight="1" s="19"/>
    <row r="161" ht="15.75" customHeight="1" s="19"/>
    <row r="162" ht="15.75" customHeight="1" s="19"/>
    <row r="163" ht="15.75" customHeight="1" s="19"/>
    <row r="164" ht="15.75" customHeight="1" s="19"/>
    <row r="165" ht="15.75" customHeight="1" s="19"/>
    <row r="166" ht="15.75" customHeight="1" s="19"/>
    <row r="167" ht="15.75" customHeight="1" s="19"/>
    <row r="168" ht="15.75" customHeight="1" s="19"/>
    <row r="169" ht="15.75" customHeight="1" s="19"/>
    <row r="170" ht="15.75" customHeight="1" s="19"/>
    <row r="171" ht="15.75" customHeight="1" s="19"/>
    <row r="172" ht="15.75" customHeight="1" s="19"/>
    <row r="173" ht="15.75" customHeight="1" s="19"/>
    <row r="174" ht="15.75" customHeight="1" s="19"/>
    <row r="175" ht="15.75" customHeight="1" s="19"/>
    <row r="176" ht="15.75" customHeight="1" s="19"/>
    <row r="177" ht="15.75" customHeight="1" s="19"/>
    <row r="178" ht="15.75" customHeight="1" s="19"/>
    <row r="179" ht="15.75" customHeight="1" s="19"/>
    <row r="180" ht="15.75" customHeight="1" s="19"/>
    <row r="181" ht="15.75" customHeight="1" s="19"/>
    <row r="182" ht="15.75" customHeight="1" s="19"/>
    <row r="183" ht="15.75" customHeight="1" s="19"/>
    <row r="184" ht="15.75" customHeight="1" s="19"/>
    <row r="185" ht="15.75" customHeight="1" s="19"/>
    <row r="186" ht="15.75" customHeight="1" s="19"/>
    <row r="187" ht="15.75" customHeight="1" s="19"/>
    <row r="188" ht="15.75" customHeight="1" s="19"/>
    <row r="189" ht="15.75" customHeight="1" s="19"/>
    <row r="190" ht="15.75" customHeight="1" s="19"/>
    <row r="191" ht="15.75" customHeight="1" s="19"/>
    <row r="192" ht="15.75" customHeight="1" s="19"/>
    <row r="193" ht="15.75" customHeight="1" s="19"/>
    <row r="194" ht="15.75" customHeight="1" s="19"/>
    <row r="195" ht="15.75" customHeight="1" s="19"/>
    <row r="196" ht="15.75" customHeight="1" s="19"/>
    <row r="197" ht="15.75" customHeight="1" s="19"/>
    <row r="198" ht="15.75" customHeight="1" s="19"/>
    <row r="199" ht="15.75" customHeight="1" s="19"/>
    <row r="200" ht="15.75" customHeight="1" s="19"/>
    <row r="201" ht="15.75" customHeight="1" s="19"/>
    <row r="202" ht="15.75" customHeight="1" s="19"/>
    <row r="203" ht="15.75" customHeight="1" s="19"/>
    <row r="204" ht="15.75" customHeight="1" s="19"/>
    <row r="205" ht="15.75" customHeight="1" s="19"/>
    <row r="206" ht="15.75" customHeight="1" s="19"/>
    <row r="207" ht="15.75" customHeight="1" s="19"/>
    <row r="208" ht="15.75" customHeight="1" s="19"/>
    <row r="209" ht="15.75" customHeight="1" s="19"/>
    <row r="210" ht="15.75" customHeight="1" s="19"/>
    <row r="211" ht="15.75" customHeight="1" s="19"/>
    <row r="212" ht="15.75" customHeight="1" s="19"/>
    <row r="213" ht="15.75" customHeight="1" s="19"/>
    <row r="214" ht="15.75" customHeight="1" s="19"/>
    <row r="215" ht="15.75" customHeight="1" s="19"/>
    <row r="216" ht="15.75" customHeight="1" s="19"/>
    <row r="217" ht="15.75" customHeight="1" s="19"/>
    <row r="218" ht="15.75" customHeight="1" s="19"/>
    <row r="219" ht="15.75" customHeight="1" s="19"/>
    <row r="220" ht="15.75" customHeight="1" s="19"/>
    <row r="221" ht="15.75" customHeight="1" s="19"/>
    <row r="222" ht="15.75" customHeight="1" s="19"/>
    <row r="223" ht="15.75" customHeight="1" s="19"/>
    <row r="224" ht="15.75" customHeight="1" s="19"/>
    <row r="225" ht="15.75" customHeight="1" s="19"/>
    <row r="226" ht="15.75" customHeight="1" s="19"/>
    <row r="227" ht="15.75" customHeight="1" s="19"/>
    <row r="228" ht="15.75" customHeight="1" s="19"/>
    <row r="229" ht="15.75" customHeight="1" s="19"/>
    <row r="230" ht="15.75" customHeight="1" s="19"/>
    <row r="231" ht="15.75" customHeight="1" s="19"/>
    <row r="232" ht="15.75" customHeight="1" s="19"/>
    <row r="233" ht="15.75" customHeight="1" s="19"/>
    <row r="234" ht="15.75" customHeight="1" s="19"/>
    <row r="235" ht="15.75" customHeight="1" s="19"/>
    <row r="236" ht="15.75" customHeight="1" s="19"/>
    <row r="237" ht="15.75" customHeight="1" s="19"/>
    <row r="238" ht="15.75" customHeight="1" s="19"/>
    <row r="239" ht="15.75" customHeight="1" s="19"/>
    <row r="240" ht="15.75" customHeight="1" s="19"/>
    <row r="241" ht="15.75" customHeight="1" s="19"/>
    <row r="242" ht="15.75" customHeight="1" s="19"/>
    <row r="243" ht="15.75" customHeight="1" s="19"/>
    <row r="244" ht="15.75" customHeight="1" s="19"/>
    <row r="245" ht="15.75" customHeight="1" s="19"/>
    <row r="246" ht="15.75" customHeight="1" s="19"/>
    <row r="247" ht="15.75" customHeight="1" s="19"/>
    <row r="248" ht="15.75" customHeight="1" s="19"/>
    <row r="249" ht="15.75" customHeight="1" s="19"/>
    <row r="250" ht="15.75" customHeight="1" s="19"/>
    <row r="251" ht="15.75" customHeight="1" s="19"/>
    <row r="252" ht="15.75" customHeight="1" s="19"/>
    <row r="253" ht="15.75" customHeight="1" s="19"/>
    <row r="254" ht="15.75" customHeight="1" s="19"/>
    <row r="255" ht="15.75" customHeight="1" s="19"/>
    <row r="256" ht="15.75" customHeight="1" s="19"/>
    <row r="257" ht="15.75" customHeight="1" s="19"/>
    <row r="258" ht="15.75" customHeight="1" s="19"/>
    <row r="259" ht="15.75" customHeight="1" s="19"/>
    <row r="260" ht="15.75" customHeight="1" s="19"/>
    <row r="261" ht="15.75" customHeight="1" s="19"/>
    <row r="262" ht="15.75" customHeight="1" s="19"/>
    <row r="263" ht="15.75" customHeight="1" s="19"/>
    <row r="264" ht="15.75" customHeight="1" s="19"/>
    <row r="265" ht="15.75" customHeight="1" s="19"/>
    <row r="266" ht="15.75" customHeight="1" s="19"/>
    <row r="267" ht="15.75" customHeight="1" s="19"/>
    <row r="268" ht="15.75" customHeight="1" s="19"/>
    <row r="269" ht="15.75" customHeight="1" s="19"/>
    <row r="270" ht="15.75" customHeight="1" s="19"/>
    <row r="271" ht="15.75" customHeight="1" s="19"/>
    <row r="272" ht="15.75" customHeight="1" s="19"/>
    <row r="273" ht="15.75" customHeight="1" s="19"/>
    <row r="274" ht="15.75" customHeight="1" s="19"/>
    <row r="275" ht="15.75" customHeight="1" s="19"/>
    <row r="276" ht="15.75" customHeight="1" s="19"/>
    <row r="277" ht="15.75" customHeight="1" s="19"/>
    <row r="278" ht="15.75" customHeight="1" s="19"/>
    <row r="279" ht="15.75" customHeight="1" s="19"/>
    <row r="280" ht="15.75" customHeight="1" s="19"/>
    <row r="281" ht="15.75" customHeight="1" s="19"/>
    <row r="282" ht="15.75" customHeight="1" s="19"/>
    <row r="283" ht="15.75" customHeight="1" s="19"/>
    <row r="284" ht="15.75" customHeight="1" s="19"/>
    <row r="285" ht="15.75" customHeight="1" s="19"/>
    <row r="286" ht="15.75" customHeight="1" s="19"/>
    <row r="287" ht="15.75" customHeight="1" s="19"/>
    <row r="288" ht="15.75" customHeight="1" s="19"/>
    <row r="289" ht="15.75" customHeight="1" s="19"/>
    <row r="290" ht="15.75" customHeight="1" s="19"/>
    <row r="291" ht="15.75" customHeight="1" s="19"/>
    <row r="292" ht="15.75" customHeight="1" s="19"/>
    <row r="293" ht="15.75" customHeight="1" s="19"/>
    <row r="294" ht="15.75" customHeight="1" s="19"/>
    <row r="295" ht="15.75" customHeight="1" s="19"/>
    <row r="296" ht="15.75" customHeight="1" s="19"/>
    <row r="297" ht="15.75" customHeight="1" s="19"/>
    <row r="298" ht="15.75" customHeight="1" s="19"/>
    <row r="299" ht="15.75" customHeight="1" s="19"/>
    <row r="300" ht="15.75" customHeight="1" s="19"/>
    <row r="301" ht="15.75" customHeight="1" s="19"/>
    <row r="302" ht="15.75" customHeight="1" s="19"/>
    <row r="303" ht="15.75" customHeight="1" s="19"/>
    <row r="304" ht="15.75" customHeight="1" s="19"/>
    <row r="305" ht="15.75" customHeight="1" s="19"/>
    <row r="306" ht="15.75" customHeight="1" s="19"/>
    <row r="307" ht="15.75" customHeight="1" s="19"/>
    <row r="308" ht="15.75" customHeight="1" s="19"/>
    <row r="309" ht="15.75" customHeight="1" s="19"/>
    <row r="310" ht="15.75" customHeight="1" s="19"/>
    <row r="311" ht="15.75" customHeight="1" s="19"/>
    <row r="312" ht="15.75" customHeight="1" s="19"/>
    <row r="313" ht="15.75" customHeight="1" s="19"/>
    <row r="314" ht="15.75" customHeight="1" s="19"/>
    <row r="315" ht="15.75" customHeight="1" s="19"/>
    <row r="316" ht="15.75" customHeight="1" s="19"/>
    <row r="317" ht="15.75" customHeight="1" s="19"/>
    <row r="318" ht="15.75" customHeight="1" s="19"/>
    <row r="319" ht="15.75" customHeight="1" s="19"/>
    <row r="320" ht="15.75" customHeight="1" s="19"/>
    <row r="321" ht="15.75" customHeight="1" s="19"/>
    <row r="322" ht="15.75" customHeight="1" s="19"/>
    <row r="323" ht="15.75" customHeight="1" s="19"/>
    <row r="324" ht="15.75" customHeight="1" s="19"/>
    <row r="325" ht="15.75" customHeight="1" s="19"/>
    <row r="326" ht="15.75" customHeight="1" s="19"/>
    <row r="327" ht="15.75" customHeight="1" s="19"/>
    <row r="328" ht="15.75" customHeight="1" s="19"/>
    <row r="329" ht="15.75" customHeight="1" s="19"/>
    <row r="330" ht="15.75" customHeight="1" s="19"/>
    <row r="331" ht="15.75" customHeight="1" s="19"/>
    <row r="332" ht="15.75" customHeight="1" s="19"/>
    <row r="333" ht="15.75" customHeight="1" s="19"/>
    <row r="334" ht="15.75" customHeight="1" s="19"/>
    <row r="335" ht="15.75" customHeight="1" s="19"/>
    <row r="336" ht="15.75" customHeight="1" s="19"/>
    <row r="337" ht="15.75" customHeight="1" s="19"/>
    <row r="338" ht="15.75" customHeight="1" s="19"/>
    <row r="339" ht="15.75" customHeight="1" s="19"/>
    <row r="340" ht="15.75" customHeight="1" s="19"/>
    <row r="341" ht="15.75" customHeight="1" s="19"/>
    <row r="342" ht="15.75" customHeight="1" s="19"/>
    <row r="343" ht="15.75" customHeight="1" s="19"/>
    <row r="344" ht="15.75" customHeight="1" s="19"/>
    <row r="345" ht="15.75" customHeight="1" s="19"/>
    <row r="346" ht="15.75" customHeight="1" s="19"/>
    <row r="347" ht="15.75" customHeight="1" s="19"/>
    <row r="348" ht="15.75" customHeight="1" s="19"/>
    <row r="349" ht="15.75" customHeight="1" s="19"/>
    <row r="350" ht="15.75" customHeight="1" s="19"/>
    <row r="351" ht="15.75" customHeight="1" s="19"/>
    <row r="352" ht="15.75" customHeight="1" s="19"/>
    <row r="353" ht="15.75" customHeight="1" s="19"/>
    <row r="354" ht="15.75" customHeight="1" s="19"/>
    <row r="355" ht="15.75" customHeight="1" s="19"/>
    <row r="356" ht="15.75" customHeight="1" s="19"/>
    <row r="357" ht="15.75" customHeight="1" s="19"/>
    <row r="358" ht="15.75" customHeight="1" s="19"/>
    <row r="359" ht="15.75" customHeight="1" s="19"/>
    <row r="360" ht="15.75" customHeight="1" s="19"/>
    <row r="361" ht="15.75" customHeight="1" s="19"/>
    <row r="362" ht="15.75" customHeight="1" s="19"/>
    <row r="363" ht="15.75" customHeight="1" s="19"/>
    <row r="364" ht="15.75" customHeight="1" s="19"/>
    <row r="365" ht="15.75" customHeight="1" s="19"/>
    <row r="366" ht="15.75" customHeight="1" s="19"/>
    <row r="367" ht="15.75" customHeight="1" s="19"/>
    <row r="368" ht="15.75" customHeight="1" s="19"/>
    <row r="369" ht="15.75" customHeight="1" s="19"/>
    <row r="370" ht="15.75" customHeight="1" s="19"/>
    <row r="371" ht="15.75" customHeight="1" s="19"/>
    <row r="372" ht="15.75" customHeight="1" s="19"/>
    <row r="373" ht="15.75" customHeight="1" s="19"/>
    <row r="374" ht="15.75" customHeight="1" s="19"/>
    <row r="375" ht="15.75" customHeight="1" s="19"/>
    <row r="376" ht="15.75" customHeight="1" s="19"/>
    <row r="377" ht="15.75" customHeight="1" s="19"/>
    <row r="378" ht="15.75" customHeight="1" s="19"/>
    <row r="379" ht="15.75" customHeight="1" s="19"/>
    <row r="380" ht="15.75" customHeight="1" s="19"/>
    <row r="381" ht="15.75" customHeight="1" s="19"/>
    <row r="382" ht="15.75" customHeight="1" s="19"/>
    <row r="383" ht="15.75" customHeight="1" s="19"/>
    <row r="384" ht="15.75" customHeight="1" s="19"/>
    <row r="385" ht="15.75" customHeight="1" s="19"/>
    <row r="386" ht="15.75" customHeight="1" s="19"/>
    <row r="387" ht="15.75" customHeight="1" s="19"/>
    <row r="388" ht="15.75" customHeight="1" s="19"/>
    <row r="389" ht="15.75" customHeight="1" s="19"/>
    <row r="390" ht="15.75" customHeight="1" s="19"/>
    <row r="391" ht="15.75" customHeight="1" s="19"/>
    <row r="392" ht="15.75" customHeight="1" s="19"/>
    <row r="393" ht="15.75" customHeight="1" s="19"/>
    <row r="394" ht="15.75" customHeight="1" s="19"/>
    <row r="395" ht="15.75" customHeight="1" s="19"/>
    <row r="396" ht="15.75" customHeight="1" s="19"/>
    <row r="397" ht="15.75" customHeight="1" s="19"/>
    <row r="398" ht="15.75" customHeight="1" s="19"/>
    <row r="399" ht="15.75" customHeight="1" s="19"/>
    <row r="400" ht="15.75" customHeight="1" s="19"/>
    <row r="401" ht="15.75" customHeight="1" s="19"/>
    <row r="402" ht="15.75" customHeight="1" s="19"/>
    <row r="403" ht="15.75" customHeight="1" s="19"/>
    <row r="404" ht="15.75" customHeight="1" s="19"/>
    <row r="405" ht="15.75" customHeight="1" s="19"/>
    <row r="406" ht="15.75" customHeight="1" s="19"/>
    <row r="407" ht="15.75" customHeight="1" s="19"/>
    <row r="408" ht="15.75" customHeight="1" s="19"/>
    <row r="409" ht="15.75" customHeight="1" s="19"/>
    <row r="410" ht="15.75" customHeight="1" s="19"/>
    <row r="411" ht="15.75" customHeight="1" s="19"/>
    <row r="412" ht="15.75" customHeight="1" s="19"/>
    <row r="413" ht="15.75" customHeight="1" s="19"/>
    <row r="414" ht="15.75" customHeight="1" s="19"/>
    <row r="415" ht="15.75" customHeight="1" s="19"/>
    <row r="416" ht="15.75" customHeight="1" s="19"/>
    <row r="417" ht="15.75" customHeight="1" s="19"/>
    <row r="418" ht="15.75" customHeight="1" s="19"/>
    <row r="419" ht="15.75" customHeight="1" s="19"/>
    <row r="420" ht="15.75" customHeight="1" s="19"/>
    <row r="421" ht="15.75" customHeight="1" s="19"/>
    <row r="422" ht="15.75" customHeight="1" s="19"/>
    <row r="423" ht="15.75" customHeight="1" s="19"/>
    <row r="424" ht="15.75" customHeight="1" s="19"/>
    <row r="425" ht="15.75" customHeight="1" s="19"/>
    <row r="426" ht="15.75" customHeight="1" s="19"/>
    <row r="427" ht="15.75" customHeight="1" s="19"/>
    <row r="428" ht="15.75" customHeight="1" s="19"/>
    <row r="429" ht="15.75" customHeight="1" s="19"/>
    <row r="430" ht="15.75" customHeight="1" s="19"/>
    <row r="431" ht="15.75" customHeight="1" s="19"/>
    <row r="432" ht="15.75" customHeight="1" s="19"/>
    <row r="433" ht="15.75" customHeight="1" s="19"/>
    <row r="434" ht="15.75" customHeight="1" s="19"/>
    <row r="435" ht="15.75" customHeight="1" s="19"/>
    <row r="436" ht="15.75" customHeight="1" s="19"/>
    <row r="437" ht="15.75" customHeight="1" s="19"/>
    <row r="438" ht="15.75" customHeight="1" s="19"/>
    <row r="439" ht="15.75" customHeight="1" s="19"/>
    <row r="440" ht="15.75" customHeight="1" s="19"/>
    <row r="441" ht="15.75" customHeight="1" s="19"/>
    <row r="442" ht="15.75" customHeight="1" s="19"/>
    <row r="443" ht="15.75" customHeight="1" s="19"/>
    <row r="444" ht="15.75" customHeight="1" s="19"/>
    <row r="445" ht="15.75" customHeight="1" s="19"/>
    <row r="446" ht="15.75" customHeight="1" s="19"/>
    <row r="447" ht="15.75" customHeight="1" s="19"/>
    <row r="448" ht="15.75" customHeight="1" s="19"/>
    <row r="449" ht="15.75" customHeight="1" s="19"/>
    <row r="450" ht="15.75" customHeight="1" s="19"/>
    <row r="451" ht="15.75" customHeight="1" s="19"/>
    <row r="452" ht="15.75" customHeight="1" s="19"/>
    <row r="453" ht="15.75" customHeight="1" s="19"/>
    <row r="454" ht="15.75" customHeight="1" s="19"/>
    <row r="455" ht="15.75" customHeight="1" s="19"/>
    <row r="456" ht="15.75" customHeight="1" s="19"/>
    <row r="457" ht="15.75" customHeight="1" s="19"/>
    <row r="458" ht="15.75" customHeight="1" s="19"/>
    <row r="459" ht="15.75" customHeight="1" s="19"/>
    <row r="460" ht="15.75" customHeight="1" s="19"/>
    <row r="461" ht="15.75" customHeight="1" s="19"/>
    <row r="462" ht="15.75" customHeight="1" s="19"/>
    <row r="463" ht="15.75" customHeight="1" s="19"/>
    <row r="464" ht="15.75" customHeight="1" s="19"/>
    <row r="465" ht="15.75" customHeight="1" s="19"/>
    <row r="466" ht="15.75" customHeight="1" s="19"/>
    <row r="467" ht="15.75" customHeight="1" s="19"/>
    <row r="468" ht="15.75" customHeight="1" s="19"/>
    <row r="469" ht="15.75" customHeight="1" s="19"/>
    <row r="470" ht="15.75" customHeight="1" s="19"/>
    <row r="471" ht="15.75" customHeight="1" s="19"/>
    <row r="472" ht="15.75" customHeight="1" s="19"/>
    <row r="473" ht="15.75" customHeight="1" s="19"/>
    <row r="474" ht="15.75" customHeight="1" s="19"/>
    <row r="475" ht="15.75" customHeight="1" s="19"/>
    <row r="476" ht="15.75" customHeight="1" s="19"/>
    <row r="477" ht="15.75" customHeight="1" s="19"/>
    <row r="478" ht="15.75" customHeight="1" s="19"/>
    <row r="479" ht="15.75" customHeight="1" s="19"/>
    <row r="480" ht="15.75" customHeight="1" s="19"/>
    <row r="481" ht="15.75" customHeight="1" s="19"/>
    <row r="482" ht="15.75" customHeight="1" s="19"/>
    <row r="483" ht="15.75" customHeight="1" s="19"/>
    <row r="484" ht="15.75" customHeight="1" s="19"/>
    <row r="485" ht="15.75" customHeight="1" s="19"/>
    <row r="486" ht="15.75" customHeight="1" s="19"/>
    <row r="487" ht="15.75" customHeight="1" s="19"/>
    <row r="488" ht="15.75" customHeight="1" s="19"/>
    <row r="489" ht="15.75" customHeight="1" s="19"/>
    <row r="490" ht="15.75" customHeight="1" s="19"/>
    <row r="491" ht="15.75" customHeight="1" s="19"/>
    <row r="492" ht="15.75" customHeight="1" s="19"/>
    <row r="493" ht="15.75" customHeight="1" s="19"/>
    <row r="494" ht="15.75" customHeight="1" s="19"/>
    <row r="495" ht="15.75" customHeight="1" s="19"/>
    <row r="496" ht="15.75" customHeight="1" s="19"/>
    <row r="497" ht="15.75" customHeight="1" s="19"/>
    <row r="498" ht="15.75" customHeight="1" s="19"/>
    <row r="499" ht="15.75" customHeight="1" s="19"/>
    <row r="500" ht="15.75" customHeight="1" s="19"/>
    <row r="501" ht="15.75" customHeight="1" s="19"/>
    <row r="502" ht="15.75" customHeight="1" s="19"/>
    <row r="503" ht="15.75" customHeight="1" s="19"/>
    <row r="504" ht="15.75" customHeight="1" s="19"/>
    <row r="505" ht="15.75" customHeight="1" s="19"/>
    <row r="506" ht="15.75" customHeight="1" s="19"/>
    <row r="507" ht="15.75" customHeight="1" s="19"/>
    <row r="508" ht="15.75" customHeight="1" s="19"/>
    <row r="509" ht="15.75" customHeight="1" s="19"/>
    <row r="510" ht="15.75" customHeight="1" s="19"/>
    <row r="511" ht="15.75" customHeight="1" s="19"/>
    <row r="512" ht="15.75" customHeight="1" s="19"/>
    <row r="513" ht="15.75" customHeight="1" s="19"/>
    <row r="514" ht="15.75" customHeight="1" s="19"/>
    <row r="515" ht="15.75" customHeight="1" s="19"/>
    <row r="516" ht="15.75" customHeight="1" s="19"/>
    <row r="517" ht="15.75" customHeight="1" s="19"/>
    <row r="518" ht="15.75" customHeight="1" s="19"/>
    <row r="519" ht="15.75" customHeight="1" s="19"/>
    <row r="520" ht="15.75" customHeight="1" s="19"/>
    <row r="521" ht="15.75" customHeight="1" s="19"/>
    <row r="522" ht="15.75" customHeight="1" s="19"/>
    <row r="523" ht="15.75" customHeight="1" s="19"/>
    <row r="524" ht="15.75" customHeight="1" s="19"/>
    <row r="525" ht="15.75" customHeight="1" s="19"/>
    <row r="526" ht="15.75" customHeight="1" s="19"/>
    <row r="527" ht="15.75" customHeight="1" s="19"/>
    <row r="528" ht="15.75" customHeight="1" s="19"/>
    <row r="529" ht="15.75" customHeight="1" s="19"/>
    <row r="530" ht="15.75" customHeight="1" s="19"/>
    <row r="531" ht="15.75" customHeight="1" s="19"/>
    <row r="532" ht="15.75" customHeight="1" s="19"/>
    <row r="533" ht="15.75" customHeight="1" s="19"/>
    <row r="534" ht="15.75" customHeight="1" s="19"/>
    <row r="535" ht="15.75" customHeight="1" s="19"/>
    <row r="536" ht="15.75" customHeight="1" s="19"/>
    <row r="537" ht="15.75" customHeight="1" s="19"/>
    <row r="538" ht="15.75" customHeight="1" s="19"/>
    <row r="539" ht="15.75" customHeight="1" s="19"/>
    <row r="540" ht="15.75" customHeight="1" s="19"/>
    <row r="541" ht="15.75" customHeight="1" s="19"/>
    <row r="542" ht="15.75" customHeight="1" s="19"/>
    <row r="543" ht="15.75" customHeight="1" s="19"/>
    <row r="544" ht="15.75" customHeight="1" s="19"/>
    <row r="545" ht="15.75" customHeight="1" s="19"/>
    <row r="546" ht="15.75" customHeight="1" s="19"/>
    <row r="547" ht="15.75" customHeight="1" s="19"/>
    <row r="548" ht="15.75" customHeight="1" s="19"/>
    <row r="549" ht="15.75" customHeight="1" s="19"/>
    <row r="550" ht="15.75" customHeight="1" s="19"/>
    <row r="551" ht="15.75" customHeight="1" s="19"/>
    <row r="552" ht="15.75" customHeight="1" s="19"/>
    <row r="553" ht="15.75" customHeight="1" s="19"/>
    <row r="554" ht="15.75" customHeight="1" s="19"/>
    <row r="555" ht="15.75" customHeight="1" s="19"/>
    <row r="556" ht="15.75" customHeight="1" s="19"/>
    <row r="557" ht="15.75" customHeight="1" s="19"/>
    <row r="558" ht="15.75" customHeight="1" s="19"/>
    <row r="559" ht="15.75" customHeight="1" s="19"/>
    <row r="560" ht="15.75" customHeight="1" s="19"/>
    <row r="561" ht="15.75" customHeight="1" s="19"/>
    <row r="562" ht="15.75" customHeight="1" s="19"/>
    <row r="563" ht="15.75" customHeight="1" s="19"/>
    <row r="564" ht="15.75" customHeight="1" s="19"/>
    <row r="565" ht="15.75" customHeight="1" s="19"/>
    <row r="566" ht="15.75" customHeight="1" s="19"/>
    <row r="567" ht="15.75" customHeight="1" s="19"/>
    <row r="568" ht="15.75" customHeight="1" s="19"/>
    <row r="569" ht="15.75" customHeight="1" s="19"/>
    <row r="570" ht="15.75" customHeight="1" s="19"/>
    <row r="571" ht="15.75" customHeight="1" s="19"/>
    <row r="572" ht="15.75" customHeight="1" s="19"/>
    <row r="573" ht="15.75" customHeight="1" s="19"/>
    <row r="574" ht="15.75" customHeight="1" s="19"/>
    <row r="575" ht="15.75" customHeight="1" s="19"/>
    <row r="576" ht="15.75" customHeight="1" s="19"/>
    <row r="577" ht="15.75" customHeight="1" s="19"/>
    <row r="578" ht="15.75" customHeight="1" s="19"/>
    <row r="579" ht="15.75" customHeight="1" s="19"/>
    <row r="580" ht="15.75" customHeight="1" s="19"/>
    <row r="581" ht="15.75" customHeight="1" s="19"/>
    <row r="582" ht="15.75" customHeight="1" s="19"/>
    <row r="583" ht="15.75" customHeight="1" s="19"/>
    <row r="584" ht="15.75" customHeight="1" s="19"/>
    <row r="585" ht="15.75" customHeight="1" s="19"/>
    <row r="586" ht="15.75" customHeight="1" s="19"/>
    <row r="587" ht="15.75" customHeight="1" s="19"/>
    <row r="588" ht="15.75" customHeight="1" s="19"/>
    <row r="589" ht="15.75" customHeight="1" s="19"/>
    <row r="590" ht="15.75" customHeight="1" s="19"/>
    <row r="591" ht="15.75" customHeight="1" s="19"/>
    <row r="592" ht="15.75" customHeight="1" s="19"/>
    <row r="593" ht="15.75" customHeight="1" s="19"/>
    <row r="594" ht="15.75" customHeight="1" s="19"/>
    <row r="595" ht="15.75" customHeight="1" s="19"/>
    <row r="596" ht="15.75" customHeight="1" s="19"/>
    <row r="597" ht="15.75" customHeight="1" s="19"/>
    <row r="598" ht="15.75" customHeight="1" s="19"/>
    <row r="599" ht="15.75" customHeight="1" s="19"/>
    <row r="600" ht="15.75" customHeight="1" s="19"/>
    <row r="601" ht="15.75" customHeight="1" s="19"/>
    <row r="602" ht="15.75" customHeight="1" s="19"/>
    <row r="603" ht="15.75" customHeight="1" s="19"/>
    <row r="604" ht="15.75" customHeight="1" s="19"/>
    <row r="605" ht="15.75" customHeight="1" s="19"/>
    <row r="606" ht="15.75" customHeight="1" s="19"/>
    <row r="607" ht="15.75" customHeight="1" s="19"/>
    <row r="608" ht="15.75" customHeight="1" s="19"/>
    <row r="609" ht="15.75" customHeight="1" s="19"/>
    <row r="610" ht="15.75" customHeight="1" s="19"/>
    <row r="611" ht="15.75" customHeight="1" s="19"/>
    <row r="612" ht="15.75" customHeight="1" s="19"/>
    <row r="613" ht="15.75" customHeight="1" s="19"/>
    <row r="614" ht="15.75" customHeight="1" s="19"/>
    <row r="615" ht="15.75" customHeight="1" s="19"/>
    <row r="616" ht="15.75" customHeight="1" s="19"/>
    <row r="617" ht="15.75" customHeight="1" s="19"/>
    <row r="618" ht="15.75" customHeight="1" s="19"/>
    <row r="619" ht="15.75" customHeight="1" s="19"/>
    <row r="620" ht="15.75" customHeight="1" s="19"/>
    <row r="621" ht="15.75" customHeight="1" s="19"/>
    <row r="622" ht="15.75" customHeight="1" s="19"/>
    <row r="623" ht="15.75" customHeight="1" s="19"/>
    <row r="624" ht="15.75" customHeight="1" s="19"/>
    <row r="625" ht="15.75" customHeight="1" s="19"/>
    <row r="626" ht="15.75" customHeight="1" s="19"/>
    <row r="627" ht="15.75" customHeight="1" s="19"/>
    <row r="628" ht="15.75" customHeight="1" s="19"/>
    <row r="629" ht="15.75" customHeight="1" s="19"/>
    <row r="630" ht="15.75" customHeight="1" s="19"/>
    <row r="631" ht="15.75" customHeight="1" s="19"/>
    <row r="632" ht="15.75" customHeight="1" s="19"/>
    <row r="633" ht="15.75" customHeight="1" s="19"/>
    <row r="634" ht="15.75" customHeight="1" s="19"/>
    <row r="635" ht="15.75" customHeight="1" s="19"/>
    <row r="636" ht="15.75" customHeight="1" s="19"/>
    <row r="637" ht="15.75" customHeight="1" s="19"/>
    <row r="638" ht="15.75" customHeight="1" s="19"/>
    <row r="639" ht="15.75" customHeight="1" s="19"/>
    <row r="640" ht="15.75" customHeight="1" s="19"/>
    <row r="641" ht="15.75" customHeight="1" s="19"/>
    <row r="642" ht="15.75" customHeight="1" s="19"/>
    <row r="643" ht="15.75" customHeight="1" s="19"/>
    <row r="644" ht="15.75" customHeight="1" s="19"/>
    <row r="645" ht="15.75" customHeight="1" s="19"/>
    <row r="646" ht="15.75" customHeight="1" s="19"/>
    <row r="647" ht="15.75" customHeight="1" s="19"/>
    <row r="648" ht="15.75" customHeight="1" s="19"/>
    <row r="649" ht="15.75" customHeight="1" s="19"/>
    <row r="650" ht="15.75" customHeight="1" s="19"/>
    <row r="651" ht="15.75" customHeight="1" s="19"/>
    <row r="652" ht="15.75" customHeight="1" s="19"/>
    <row r="653" ht="15.75" customHeight="1" s="19"/>
    <row r="654" ht="15.75" customHeight="1" s="19"/>
    <row r="655" ht="15.75" customHeight="1" s="19"/>
    <row r="656" ht="15.75" customHeight="1" s="19"/>
    <row r="657" ht="15.75" customHeight="1" s="19"/>
    <row r="658" ht="15.75" customHeight="1" s="19"/>
    <row r="659" ht="15.75" customHeight="1" s="19"/>
    <row r="660" ht="15.75" customHeight="1" s="19"/>
    <row r="661" ht="15.75" customHeight="1" s="19"/>
    <row r="662" ht="15.75" customHeight="1" s="19"/>
    <row r="663" ht="15.75" customHeight="1" s="19"/>
    <row r="664" ht="15.75" customHeight="1" s="19"/>
    <row r="665" ht="15.75" customHeight="1" s="19"/>
    <row r="666" ht="15.75" customHeight="1" s="19"/>
    <row r="667" ht="15.75" customHeight="1" s="19"/>
    <row r="668" ht="15.75" customHeight="1" s="19"/>
    <row r="669" ht="15.75" customHeight="1" s="19"/>
    <row r="670" ht="15.75" customHeight="1" s="19"/>
    <row r="671" ht="15.75" customHeight="1" s="19"/>
    <row r="672" ht="15.75" customHeight="1" s="19"/>
    <row r="673" ht="15.75" customHeight="1" s="19"/>
    <row r="674" ht="15.75" customHeight="1" s="19"/>
    <row r="675" ht="15.75" customHeight="1" s="19"/>
    <row r="676" ht="15.75" customHeight="1" s="19"/>
    <row r="677" ht="15.75" customHeight="1" s="19"/>
    <row r="678" ht="15.75" customHeight="1" s="19"/>
    <row r="679" ht="15.75" customHeight="1" s="19"/>
    <row r="680" ht="15.75" customHeight="1" s="19"/>
    <row r="681" ht="15.75" customHeight="1" s="19"/>
    <row r="682" ht="15.75" customHeight="1" s="19"/>
    <row r="683" ht="15.75" customHeight="1" s="19"/>
    <row r="684" ht="15.75" customHeight="1" s="19"/>
    <row r="685" ht="15.75" customHeight="1" s="19"/>
    <row r="686" ht="15.75" customHeight="1" s="19"/>
    <row r="687" ht="15.75" customHeight="1" s="19"/>
    <row r="688" ht="15.75" customHeight="1" s="19"/>
    <row r="689" ht="15.75" customHeight="1" s="19"/>
    <row r="690" ht="15.75" customHeight="1" s="19"/>
    <row r="691" ht="15.75" customHeight="1" s="19"/>
    <row r="692" ht="15.75" customHeight="1" s="19"/>
    <row r="693" ht="15.75" customHeight="1" s="19"/>
    <row r="694" ht="15.75" customHeight="1" s="19"/>
    <row r="695" ht="15.75" customHeight="1" s="19"/>
    <row r="696" ht="15.75" customHeight="1" s="19"/>
    <row r="697" ht="15.75" customHeight="1" s="19"/>
    <row r="698" ht="15.75" customHeight="1" s="19"/>
    <row r="699" ht="15.75" customHeight="1" s="19"/>
    <row r="700" ht="15.75" customHeight="1" s="19"/>
    <row r="701" ht="15.75" customHeight="1" s="19"/>
    <row r="702" ht="15.75" customHeight="1" s="19"/>
    <row r="703" ht="15.75" customHeight="1" s="19"/>
    <row r="704" ht="15.75" customHeight="1" s="19"/>
    <row r="705" ht="15.75" customHeight="1" s="19"/>
    <row r="706" ht="15.75" customHeight="1" s="19"/>
    <row r="707" ht="15.75" customHeight="1" s="19"/>
    <row r="708" ht="15.75" customHeight="1" s="19"/>
    <row r="709" ht="15.75" customHeight="1" s="19"/>
    <row r="710" ht="15.75" customHeight="1" s="19"/>
    <row r="711" ht="15.75" customHeight="1" s="19"/>
    <row r="712" ht="15.75" customHeight="1" s="19"/>
    <row r="713" ht="15.75" customHeight="1" s="19"/>
    <row r="714" ht="15.75" customHeight="1" s="19"/>
    <row r="715" ht="15.75" customHeight="1" s="19"/>
    <row r="716" ht="15.75" customHeight="1" s="19"/>
    <row r="717" ht="15.75" customHeight="1" s="19"/>
    <row r="718" ht="15.75" customHeight="1" s="19"/>
    <row r="719" ht="15.75" customHeight="1" s="19"/>
    <row r="720" ht="15.75" customHeight="1" s="19"/>
    <row r="721" ht="15.75" customHeight="1" s="19"/>
    <row r="722" ht="15.75" customHeight="1" s="19"/>
    <row r="723" ht="15.75" customHeight="1" s="19"/>
    <row r="724" ht="15.75" customHeight="1" s="19"/>
    <row r="725" ht="15.75" customHeight="1" s="19"/>
    <row r="726" ht="15.75" customHeight="1" s="19"/>
    <row r="727" ht="15.75" customHeight="1" s="19"/>
    <row r="728" ht="15.75" customHeight="1" s="19"/>
    <row r="729" ht="15.75" customHeight="1" s="19"/>
    <row r="730" ht="15.75" customHeight="1" s="19"/>
    <row r="731" ht="15.75" customHeight="1" s="19"/>
    <row r="732" ht="15.75" customHeight="1" s="19"/>
    <row r="733" ht="15.75" customHeight="1" s="19"/>
    <row r="734" ht="15.75" customHeight="1" s="19"/>
    <row r="735" ht="15.75" customHeight="1" s="19"/>
    <row r="736" ht="15.75" customHeight="1" s="19"/>
    <row r="737" ht="15.75" customHeight="1" s="19"/>
    <row r="738" ht="15.75" customHeight="1" s="19"/>
    <row r="739" ht="15.75" customHeight="1" s="19"/>
    <row r="740" ht="15.75" customHeight="1" s="19"/>
    <row r="741" ht="15.75" customHeight="1" s="19"/>
    <row r="742" ht="15.75" customHeight="1" s="19"/>
    <row r="743" ht="15.75" customHeight="1" s="19"/>
    <row r="744" ht="15.75" customHeight="1" s="19"/>
    <row r="745" ht="15.75" customHeight="1" s="19"/>
    <row r="746" ht="15.75" customHeight="1" s="19"/>
    <row r="747" ht="15.75" customHeight="1" s="19"/>
    <row r="748" ht="15.75" customHeight="1" s="19"/>
    <row r="749" ht="15.75" customHeight="1" s="19"/>
    <row r="750" ht="15.75" customHeight="1" s="19"/>
    <row r="751" ht="15.75" customHeight="1" s="19"/>
    <row r="752" ht="15.75" customHeight="1" s="19"/>
    <row r="753" ht="15.75" customHeight="1" s="19"/>
    <row r="754" ht="15.75" customHeight="1" s="19"/>
    <row r="755" ht="15.75" customHeight="1" s="19"/>
    <row r="756" ht="15.75" customHeight="1" s="19"/>
    <row r="757" ht="15.75" customHeight="1" s="19"/>
    <row r="758" ht="15.75" customHeight="1" s="19"/>
    <row r="759" ht="15.75" customHeight="1" s="19"/>
    <row r="760" ht="15.75" customHeight="1" s="19"/>
    <row r="761" ht="15.75" customHeight="1" s="19"/>
    <row r="762" ht="15.75" customHeight="1" s="19"/>
    <row r="763" ht="15.75" customHeight="1" s="19"/>
    <row r="764" ht="15.75" customHeight="1" s="19"/>
    <row r="765" ht="15.75" customHeight="1" s="19"/>
    <row r="766" ht="15.75" customHeight="1" s="19"/>
    <row r="767" ht="15.75" customHeight="1" s="19"/>
    <row r="768" ht="15.75" customHeight="1" s="19"/>
    <row r="769" ht="15.75" customHeight="1" s="19"/>
    <row r="770" ht="15.75" customHeight="1" s="19"/>
    <row r="771" ht="15.75" customHeight="1" s="19"/>
    <row r="772" ht="15.75" customHeight="1" s="19"/>
    <row r="773" ht="15.75" customHeight="1" s="19"/>
    <row r="774" ht="15.75" customHeight="1" s="19"/>
    <row r="775" ht="15.75" customHeight="1" s="19"/>
    <row r="776" ht="15.75" customHeight="1" s="19"/>
    <row r="777" ht="15.75" customHeight="1" s="19"/>
    <row r="778" ht="15.75" customHeight="1" s="19"/>
    <row r="779" ht="15.75" customHeight="1" s="19"/>
    <row r="780" ht="15.75" customHeight="1" s="19"/>
    <row r="781" ht="15.75" customHeight="1" s="19"/>
    <row r="782" ht="15.75" customHeight="1" s="19"/>
    <row r="783" ht="15.75" customHeight="1" s="19"/>
    <row r="784" ht="15.75" customHeight="1" s="19"/>
    <row r="785" ht="15.75" customHeight="1" s="19"/>
    <row r="786" ht="15.75" customHeight="1" s="19"/>
    <row r="787" ht="15.75" customHeight="1" s="19"/>
    <row r="788" ht="15.75" customHeight="1" s="19"/>
    <row r="789" ht="15.75" customHeight="1" s="19"/>
    <row r="790" ht="15.75" customHeight="1" s="19"/>
    <row r="791" ht="15.75" customHeight="1" s="19"/>
    <row r="792" ht="15.75" customHeight="1" s="19"/>
    <row r="793" ht="15.75" customHeight="1" s="19"/>
    <row r="794" ht="15.75" customHeight="1" s="19"/>
    <row r="795" ht="15.75" customHeight="1" s="19"/>
    <row r="796" ht="15.75" customHeight="1" s="19"/>
    <row r="797" ht="15.75" customHeight="1" s="19"/>
    <row r="798" ht="15.75" customHeight="1" s="19"/>
    <row r="799" ht="15.75" customHeight="1" s="19"/>
    <row r="800" ht="15.75" customHeight="1" s="19"/>
    <row r="801" ht="15.75" customHeight="1" s="19"/>
    <row r="802" ht="15.75" customHeight="1" s="19"/>
    <row r="803" ht="15.75" customHeight="1" s="19"/>
    <row r="804" ht="15.75" customHeight="1" s="19"/>
    <row r="805" ht="15.75" customHeight="1" s="19"/>
    <row r="806" ht="15.75" customHeight="1" s="19"/>
    <row r="807" ht="15.75" customHeight="1" s="19"/>
    <row r="808" ht="15.75" customHeight="1" s="19"/>
    <row r="809" ht="15.75" customHeight="1" s="19"/>
    <row r="810" ht="15.75" customHeight="1" s="19"/>
    <row r="811" ht="15.75" customHeight="1" s="19"/>
    <row r="812" ht="15.75" customHeight="1" s="19"/>
    <row r="813" ht="15.75" customHeight="1" s="19"/>
    <row r="814" ht="15.75" customHeight="1" s="19"/>
    <row r="815" ht="15.75" customHeight="1" s="19"/>
    <row r="816" ht="15.75" customHeight="1" s="19"/>
    <row r="817" ht="15.75" customHeight="1" s="19"/>
    <row r="818" ht="15.75" customHeight="1" s="19"/>
    <row r="819" ht="15.75" customHeight="1" s="19"/>
    <row r="820" ht="15.75" customHeight="1" s="19"/>
    <row r="821" ht="15.75" customHeight="1" s="19"/>
    <row r="822" ht="15.75" customHeight="1" s="19"/>
    <row r="823" ht="15.75" customHeight="1" s="19"/>
    <row r="824" ht="15.75" customHeight="1" s="19"/>
    <row r="825" ht="15.75" customHeight="1" s="19"/>
    <row r="826" ht="15.75" customHeight="1" s="19"/>
    <row r="827" ht="15.75" customHeight="1" s="19"/>
    <row r="828" ht="15.75" customHeight="1" s="19"/>
    <row r="829" ht="15.75" customHeight="1" s="19"/>
    <row r="830" ht="15.75" customHeight="1" s="19"/>
    <row r="831" ht="15.75" customHeight="1" s="19"/>
    <row r="832" ht="15.75" customHeight="1" s="19"/>
    <row r="833" ht="15.75" customHeight="1" s="19"/>
    <row r="834" ht="15.75" customHeight="1" s="19"/>
    <row r="835" ht="15.75" customHeight="1" s="19"/>
    <row r="836" ht="15.75" customHeight="1" s="19"/>
    <row r="837" ht="15.75" customHeight="1" s="19"/>
    <row r="838" ht="15.75" customHeight="1" s="19"/>
    <row r="839" ht="15.75" customHeight="1" s="19"/>
    <row r="840" ht="15.75" customHeight="1" s="19"/>
    <row r="841" ht="15.75" customHeight="1" s="19"/>
    <row r="842" ht="15.75" customHeight="1" s="19"/>
    <row r="843" ht="15.75" customHeight="1" s="19"/>
    <row r="844" ht="15.75" customHeight="1" s="19"/>
    <row r="845" ht="15.75" customHeight="1" s="19"/>
    <row r="846" ht="15.75" customHeight="1" s="19"/>
    <row r="847" ht="15.75" customHeight="1" s="19"/>
    <row r="848" ht="15.75" customHeight="1" s="19"/>
    <row r="849" ht="15.75" customHeight="1" s="19"/>
    <row r="850" ht="15.75" customHeight="1" s="19"/>
    <row r="851" ht="15.75" customHeight="1" s="19"/>
    <row r="852" ht="15.75" customHeight="1" s="19"/>
    <row r="853" ht="15.75" customHeight="1" s="19"/>
    <row r="854" ht="15.75" customHeight="1" s="19"/>
    <row r="855" ht="15.75" customHeight="1" s="19"/>
    <row r="856" ht="15.75" customHeight="1" s="19"/>
    <row r="857" ht="15.75" customHeight="1" s="19"/>
    <row r="858" ht="15.75" customHeight="1" s="19"/>
    <row r="859" ht="15.75" customHeight="1" s="19"/>
    <row r="860" ht="15.75" customHeight="1" s="19"/>
    <row r="861" ht="15.75" customHeight="1" s="19"/>
    <row r="862" ht="15.75" customHeight="1" s="19"/>
    <row r="863" ht="15.75" customHeight="1" s="19"/>
    <row r="864" ht="15.75" customHeight="1" s="19"/>
    <row r="865" ht="15.75" customHeight="1" s="19"/>
    <row r="866" ht="15.75" customHeight="1" s="19"/>
    <row r="867" ht="15.75" customHeight="1" s="19"/>
    <row r="868" ht="15.75" customHeight="1" s="19"/>
    <row r="869" ht="15.75" customHeight="1" s="19"/>
    <row r="870" ht="15.75" customHeight="1" s="19"/>
    <row r="871" ht="15.75" customHeight="1" s="19"/>
    <row r="872" ht="15.75" customHeight="1" s="19"/>
    <row r="873" ht="15.75" customHeight="1" s="19"/>
    <row r="874" ht="15.75" customHeight="1" s="19"/>
    <row r="875" ht="15.75" customHeight="1" s="19"/>
    <row r="876" ht="15.75" customHeight="1" s="19"/>
    <row r="877" ht="15.75" customHeight="1" s="19"/>
    <row r="878" ht="15.75" customHeight="1" s="19"/>
    <row r="879" ht="15.75" customHeight="1" s="19"/>
    <row r="880" ht="15.75" customHeight="1" s="19"/>
    <row r="881" ht="15.75" customHeight="1" s="19"/>
    <row r="882" ht="15.75" customHeight="1" s="19"/>
    <row r="883" ht="15.75" customHeight="1" s="19"/>
    <row r="884" ht="15.75" customHeight="1" s="19"/>
    <row r="885" ht="15.75" customHeight="1" s="19"/>
    <row r="886" ht="15.75" customHeight="1" s="19"/>
    <row r="887" ht="15.75" customHeight="1" s="19"/>
    <row r="888" ht="15.75" customHeight="1" s="19"/>
    <row r="889" ht="15.75" customHeight="1" s="19"/>
    <row r="890" ht="15.75" customHeight="1" s="19"/>
    <row r="891" ht="15.75" customHeight="1" s="19"/>
    <row r="892" ht="15.75" customHeight="1" s="19"/>
    <row r="893" ht="15.75" customHeight="1" s="19"/>
    <row r="894" ht="15.75" customHeight="1" s="19"/>
    <row r="895" ht="15.75" customHeight="1" s="19"/>
    <row r="896" ht="15.75" customHeight="1" s="19"/>
    <row r="897" ht="15.75" customHeight="1" s="19"/>
    <row r="898" ht="15.75" customHeight="1" s="19"/>
    <row r="899" ht="15.75" customHeight="1" s="19"/>
    <row r="900" ht="15.75" customHeight="1" s="19"/>
    <row r="901" ht="15.75" customHeight="1" s="19"/>
    <row r="902" ht="15.75" customHeight="1" s="19"/>
    <row r="903" ht="15.75" customHeight="1" s="19"/>
    <row r="904" ht="15.75" customHeight="1" s="19"/>
    <row r="905" ht="15.75" customHeight="1" s="19"/>
    <row r="906" ht="15.75" customHeight="1" s="19"/>
    <row r="907" ht="15.75" customHeight="1" s="19"/>
    <row r="908" ht="15.75" customHeight="1" s="19"/>
    <row r="909" ht="15.75" customHeight="1" s="19"/>
    <row r="910" ht="15.75" customHeight="1" s="19"/>
    <row r="911" ht="15.75" customHeight="1" s="19"/>
    <row r="912" ht="15.75" customHeight="1" s="19"/>
    <row r="913" ht="15.75" customHeight="1" s="19"/>
    <row r="914" ht="15.75" customHeight="1" s="19"/>
    <row r="915" ht="15.75" customHeight="1" s="19"/>
    <row r="916" ht="15.75" customHeight="1" s="19"/>
    <row r="917" ht="15.75" customHeight="1" s="19"/>
    <row r="918" ht="15.75" customHeight="1" s="19"/>
    <row r="919" ht="15.75" customHeight="1" s="19"/>
    <row r="920" ht="15.75" customHeight="1" s="19"/>
    <row r="921" ht="15.75" customHeight="1" s="19"/>
    <row r="922" ht="15.75" customHeight="1" s="19"/>
    <row r="923" ht="15.75" customHeight="1" s="19"/>
    <row r="924" ht="15.75" customHeight="1" s="19"/>
    <row r="925" ht="15.75" customHeight="1" s="19"/>
    <row r="926" ht="15.75" customHeight="1" s="19"/>
    <row r="927" ht="15.75" customHeight="1" s="19"/>
    <row r="928" ht="15.75" customHeight="1" s="19"/>
    <row r="929" ht="15.75" customHeight="1" s="19"/>
    <row r="930" ht="15.75" customHeight="1" s="19"/>
    <row r="931" ht="15.75" customHeight="1" s="19"/>
    <row r="932" ht="15.75" customHeight="1" s="19"/>
    <row r="933" ht="15.75" customHeight="1" s="19"/>
    <row r="934" ht="15.75" customHeight="1" s="19"/>
    <row r="935" ht="15.75" customHeight="1" s="19"/>
    <row r="936" ht="15.75" customHeight="1" s="19"/>
    <row r="937" ht="15.75" customHeight="1" s="19"/>
    <row r="938" ht="15.75" customHeight="1" s="19"/>
    <row r="939" ht="15.75" customHeight="1" s="19"/>
    <row r="940" ht="15.75" customHeight="1" s="19"/>
    <row r="941" ht="15.75" customHeight="1" s="19"/>
    <row r="942" ht="15.75" customHeight="1" s="19"/>
    <row r="943" ht="15.75" customHeight="1" s="19"/>
    <row r="944" ht="15.75" customHeight="1" s="19"/>
    <row r="945" ht="15.75" customHeight="1" s="19"/>
    <row r="946" ht="15.75" customHeight="1" s="19"/>
    <row r="947" ht="15.75" customHeight="1" s="19"/>
    <row r="948" ht="15.75" customHeight="1" s="19"/>
    <row r="949" ht="15.75" customHeight="1" s="19"/>
    <row r="950" ht="15.75" customHeight="1" s="19"/>
    <row r="951" ht="15.75" customHeight="1" s="19"/>
    <row r="952" ht="15.75" customHeight="1" s="19"/>
    <row r="953" ht="15.75" customHeight="1" s="19"/>
    <row r="954" ht="15.75" customHeight="1" s="19"/>
    <row r="955" ht="15.75" customHeight="1" s="19"/>
    <row r="956" ht="15.75" customHeight="1" s="19"/>
    <row r="957" ht="15.75" customHeight="1" s="19"/>
    <row r="958" ht="15.75" customHeight="1" s="19"/>
    <row r="959" ht="15.75" customHeight="1" s="19"/>
    <row r="960" ht="15.75" customHeight="1" s="19"/>
    <row r="961" ht="15.75" customHeight="1" s="19"/>
    <row r="962" ht="15.75" customHeight="1" s="19"/>
    <row r="963" ht="15.75" customHeight="1" s="19"/>
    <row r="964" ht="15.75" customHeight="1" s="19"/>
    <row r="965" ht="15.75" customHeight="1" s="19"/>
    <row r="966" ht="15.75" customHeight="1" s="19"/>
    <row r="967" ht="15.75" customHeight="1" s="19"/>
    <row r="968" ht="15.75" customHeight="1" s="19"/>
    <row r="969" ht="15.75" customHeight="1" s="19"/>
    <row r="970" ht="15.75" customHeight="1" s="19"/>
    <row r="971" ht="15.75" customHeight="1" s="19"/>
    <row r="972" ht="15.75" customHeight="1" s="19"/>
    <row r="973" ht="15.75" customHeight="1" s="19"/>
    <row r="974" ht="15.75" customHeight="1" s="19"/>
    <row r="975" ht="15.75" customHeight="1" s="19"/>
    <row r="976" ht="15.75" customHeight="1" s="19"/>
    <row r="977" ht="15.75" customHeight="1" s="19"/>
    <row r="978" ht="15.75" customHeight="1" s="19"/>
    <row r="979" ht="15.75" customHeight="1" s="19"/>
    <row r="980" ht="15.75" customHeight="1" s="19"/>
    <row r="981" ht="15.75" customHeight="1" s="19"/>
    <row r="982" ht="15.75" customHeight="1" s="19"/>
    <row r="983" ht="15.75" customHeight="1" s="19"/>
    <row r="984" ht="15.75" customHeight="1" s="19"/>
    <row r="985" ht="15.75" customHeight="1" s="19"/>
    <row r="986" ht="15.75" customHeight="1" s="19"/>
    <row r="987" ht="15.75" customHeight="1" s="19"/>
    <row r="988" ht="15.75" customHeight="1" s="19"/>
    <row r="989" ht="15.75" customHeight="1" s="19"/>
    <row r="990" ht="15.75" customHeight="1" s="19"/>
    <row r="991" ht="15.75" customHeight="1" s="19"/>
    <row r="992" ht="15.75" customHeight="1" s="19"/>
    <row r="993" ht="15.75" customHeight="1" s="19"/>
    <row r="994" ht="15.75" customHeight="1" s="19"/>
    <row r="995" ht="15.75" customHeight="1" s="19"/>
    <row r="996" ht="15.75" customHeight="1" s="19"/>
    <row r="997" ht="15.75" customHeight="1" s="19"/>
    <row r="998" ht="15.75" customHeight="1" s="19"/>
    <row r="999" ht="15.75" customHeight="1" s="19"/>
    <row r="1000" ht="15.75" customHeight="1" s="19"/>
  </sheetData>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P26"/>
  <sheetViews>
    <sheetView showGridLines="0" workbookViewId="0">
      <pane xSplit="5" ySplit="4" topLeftCell="F5" activePane="bottomRight" state="frozen"/>
      <selection pane="topRight" activeCell="F1" sqref="F1"/>
      <selection pane="bottomLeft" activeCell="A5" sqref="A5"/>
      <selection pane="bottomRight" activeCell="F5" sqref="F5"/>
    </sheetView>
  </sheetViews>
  <sheetFormatPr baseColWidth="8" defaultColWidth="14.43" defaultRowHeight="15" customHeight="1"/>
  <cols>
    <col width="8" customWidth="1" style="19" min="1" max="1"/>
    <col width="25" customWidth="1" style="19" min="2" max="2"/>
    <col width="45" customWidth="1" style="19" min="3" max="3"/>
    <col width="35" customWidth="1" style="19" min="4" max="5"/>
    <col width="12" customWidth="1" style="19" min="6" max="6"/>
    <col width="14" customWidth="1" style="19" min="7" max="7"/>
    <col width="12" customWidth="1" style="19" min="8" max="8"/>
    <col width="14" customWidth="1" style="19" min="9" max="9"/>
    <col width="12" customWidth="1" style="19" min="10" max="10"/>
    <col width="14" customWidth="1" style="19" min="11" max="11"/>
    <col width="15" customWidth="1" style="19" min="12" max="12"/>
    <col width="22" customWidth="1" style="19" min="13" max="13"/>
    <col width="15" customWidth="1" style="19" min="14" max="14"/>
    <col width="45" customWidth="1" style="19" min="15" max="15"/>
    <col width="35" customWidth="1" style="19" min="16" max="16"/>
    <col width="8.710000000000001" customWidth="1" style="19" min="17" max="26"/>
  </cols>
  <sheetData>
    <row r="1">
      <c r="A1" s="1" t="inlineStr">
        <is>
          <t>Digital SAT Practice Test - October 2026: Math Module 2</t>
        </is>
      </c>
    </row>
    <row r="2">
      <c r="A2" s="2" t="inlineStr">
        <is>
          <t>Chiến thuật: Tự thử sức ở Lần 1 (Cột F) -&gt; Nhận phản hồi tự động &amp; Gợi ý định hướng logic mà không làm lộ đáp án.</t>
        </is>
      </c>
    </row>
    <row r="4" ht="27.75" customHeight="1" s="19">
      <c r="A4" s="3" t="inlineStr">
        <is>
          <t>Q#</t>
        </is>
      </c>
      <c r="B4" s="3" t="inlineStr">
        <is>
          <t>Topic / Skill Focus</t>
        </is>
      </c>
      <c r="C4" s="3" t="inlineStr">
        <is>
          <t>Passage &amp; Context</t>
        </is>
      </c>
      <c r="D4" s="3" t="inlineStr">
        <is>
          <t>Question Prompt / Calculator</t>
        </is>
      </c>
      <c r="E4" s="3" t="inlineStr">
        <is>
          <t>Options / Choices (No Answer)</t>
        </is>
      </c>
      <c r="F4" s="3" t="inlineStr">
        <is>
          <t>Lần thử 1</t>
        </is>
      </c>
      <c r="G4" s="3" t="inlineStr">
        <is>
          <t>Kết quả L1</t>
        </is>
      </c>
      <c r="H4" s="3" t="inlineStr">
        <is>
          <t>Lần thử 2</t>
        </is>
      </c>
      <c r="I4" s="3" t="inlineStr">
        <is>
          <t>Kết quả L2</t>
        </is>
      </c>
      <c r="J4" s="3" t="inlineStr">
        <is>
          <t>Lần thử 3</t>
        </is>
      </c>
      <c r="K4" s="3" t="inlineStr">
        <is>
          <t>Kết quả L3</t>
        </is>
      </c>
      <c r="L4" s="3" t="inlineStr">
        <is>
          <t>Tổng số cột Sai</t>
        </is>
      </c>
      <c r="M4" s="3" t="inlineStr">
        <is>
          <t>Trạng thái Hoàn thành</t>
        </is>
      </c>
      <c r="N4" s="3" t="inlineStr">
        <is>
          <t>Hiệu suất (%)</t>
        </is>
      </c>
      <c r="O4" s="3" t="inlineStr">
        <is>
          <t>Hint / Gợi ý Đa tầng (Không đáp án)</t>
        </is>
      </c>
      <c r="P4" s="3" t="inlineStr">
        <is>
          <t>Strategic Tip / Formula</t>
        </is>
      </c>
    </row>
    <row r="5">
      <c r="A5" s="7" t="inlineStr">
        <is>
          <t>Q1</t>
        </is>
      </c>
      <c r="B5" s="5" t="inlineStr">
        <is>
          <t>Circle Equations (Radius)</t>
        </is>
      </c>
      <c r="C5" s="5" t="inlineStr">
        <is>
          <t>A circle in the xy-plane has equation (x - 4)^2 + (y + 1)^2 = 49.</t>
        </is>
      </c>
      <c r="D5" s="5" t="inlineStr">
        <is>
          <t>Calculator Allowed. What is the radius of the circle?</t>
        </is>
      </c>
      <c r="E5" s="5" t="inlineStr">
        <is>
          <t>A. Lựa chọn A
B. Lựa chọn B
C. Lựa chọn C
D. Lựa chọn D</t>
        </is>
      </c>
      <c r="F5" s="14" t="n"/>
      <c r="G5" s="7">
        <f>IF(ISBLANK(F5), "⏳ Chờ đáp án", IF(UPPER(TRIM(F5))="A", "✅ Đúng", "❌ Sai"))</f>
        <v/>
      </c>
      <c r="H5" s="14" t="n"/>
      <c r="I5" s="7">
        <f>IF(ISBLANK(H5), "", IF(UPPER(TRIM(H5))="A", "✅ Đúng", "❌ Sai"))</f>
        <v/>
      </c>
      <c r="J5" s="14" t="n"/>
      <c r="K5" s="7">
        <f>IF(ISBLANK(J5), "", IF(UPPER(TRIM(J5))="A", "✅ Đúng", "❌ Sai"))</f>
        <v/>
      </c>
      <c r="L5" s="7">
        <f>COUNTIF(G5, "❌ Sai") + COUNTIF(I5, "❌ Sai") + COUNTIF(K5, "❌ Sai")</f>
        <v/>
      </c>
      <c r="M5" s="7">
        <f>IF(ISBLANK(F5), "⏳ Chờ làm", IF(G5="✅ Đúng", "✅ Đúng ngay L1", IF(I5="✅ Đúng", "✅ Đúng ở L2", IF(K5="✅ Đúng", "✅ Đúng ở L3", "❌ Chưa đúng sau 3 lần"))))</f>
        <v/>
      </c>
      <c r="N5" s="13">
        <f>IF(G5="✅ Đúng", 1, IF(I5="✅ Đúng", 0.667, IF(K5="✅ Đúng", 0.333, 0)))</f>
        <v/>
      </c>
      <c r="O5" s="5">
        <f>IF(ISBLANK(F5), "💡 Nhập đáp án vào Lần thử 1", IF(OR(G5="✅ Đúng", I5="✅ Đúng", K5="✅ Đúng"), "✨ Xuất sắc! Bạn đã làm đúng.", IF(NOT(ISBLANK(J5)), "💡 Gợi ý Tầng 3 (Chốt phương pháp): " &amp; "Tính căn bậc hai của r^2 để tìm độ dài bán kính r.", IF(NOT(ISBLANK(H5)), "💡 Gợi ý Tầng 2 (Manh mối cấu trúc &amp; Loại trừ): " &amp; "Xác định giá trị r^2 ở vế phải của phương trình.", "💡 Gợi ý Tầng 1 (Định hướng bối cảnh): " &amp; "So sánh phương trình đường tròn đã cho với dạng chuẩn (x - h)^2 + (y - k)^2 = r^2."))))</f>
        <v/>
      </c>
      <c r="P5" s="5">
        <f>IF(OR(G5="✅ Đúng", I5="✅ Đúng", K5="✅ Đúng"), "Circle Equation: (x - h)^2 + (y - k)^2 = r^2 =&gt; r = sqrt(49) = 7.", "🔒 Trả lời đúng để mở khóa Strategic Tip!")</f>
        <v/>
      </c>
    </row>
    <row r="6">
      <c r="A6" s="7" t="inlineStr">
        <is>
          <t>Q2</t>
        </is>
      </c>
      <c r="B6" s="5" t="inlineStr">
        <is>
          <t>Linear Functions &amp; Table Data</t>
        </is>
      </c>
      <c r="C6" s="5" t="inlineStr">
        <is>
          <t>A table shows area x (sq ft) and water f(x) (gallons): (2400, 4320), (3600, 6480), (4800, 8640).</t>
        </is>
      </c>
      <c r="D6" s="5" t="inlineStr">
        <is>
          <t>Calculator Allowed. Which equation defines f(x)?</t>
        </is>
      </c>
      <c r="E6" s="5" t="inlineStr">
        <is>
          <t>A. Lựa chọn A
B. Lựa chọn B
C. Lựa chọn C
D. Lựa chọn D</t>
        </is>
      </c>
      <c r="F6" s="14" t="n"/>
      <c r="G6" s="7">
        <f>IF(ISBLANK(F6), "⏳ Chờ đáp án", IF(UPPER(TRIM(F6))="B", "✅ Đúng", "❌ Sai"))</f>
        <v/>
      </c>
      <c r="H6" s="14" t="n"/>
      <c r="I6" s="7">
        <f>IF(ISBLANK(H6), "", IF(UPPER(TRIM(H6))="B", "✅ Đúng", "❌ Sai"))</f>
        <v/>
      </c>
      <c r="J6" s="14" t="n"/>
      <c r="K6" s="7">
        <f>IF(ISBLANK(J6), "", IF(UPPER(TRIM(J6))="B", "✅ Đúng", "❌ Sai"))</f>
        <v/>
      </c>
      <c r="L6" s="7">
        <f>COUNTIF(G6, "❌ Sai") + COUNTIF(I6, "❌ Sai") + COUNTIF(K6, "❌ Sai")</f>
        <v/>
      </c>
      <c r="M6" s="7">
        <f>IF(ISBLANK(F6), "⏳ Chờ làm", IF(G6="✅ Đúng", "✅ Đúng ngay L1", IF(I6="✅ Đúng", "✅ Đúng ở L2", IF(K6="✅ Đúng", "✅ Đúng ở L3", "❌ Chưa đúng sau 3 lần"))))</f>
        <v/>
      </c>
      <c r="N6" s="13">
        <f>IF(G6="✅ Đúng", 1, IF(I6="✅ Đúng", 0.667, IF(K6="✅ Đúng", 0.333, 0)))</f>
        <v/>
      </c>
      <c r="O6" s="5">
        <f>IF(ISBLANK(F6), "💡 Nhập đáp án vào Lần thử 1", IF(OR(G6="✅ Đúng", I6="✅ Đúng", K6="✅ Đúng"), "✨ Xuất sắc! Bạn đã làm đúng.", IF(NOT(ISBLANK(J6)), "💡 Gợi ý Tầng 3 (Chốt phương pháp): " &amp; "Lập công thức hàm số dựa trên hệ số góc và tung độ gốc tìm được.", IF(NOT(ISBLANK(H6)), "💡 Gợi ý Tầng 2 (Manh mối cấu trúc &amp; Loại trừ): " &amp; "Tính tỉ số thay đổi Delta y / Delta x giữa các điểm dữ liệu.", "💡 Gợi ý Tầng 1 (Định hướng bối cảnh): " &amp; "Phân tích bảng giá trị để xác định dạng hàm số (tuyến tính hay hàm mũ)."))))</f>
        <v/>
      </c>
      <c r="P6" s="5">
        <f>IF(OR(G6="✅ Đúng", I6="✅ Đúng", K6="✅ Đúng"), "Direct Variation Ratio: k = y / x = 4320 / 2400 = 1.8.", "🔒 Trả lời đúng để mở khóa Strategic Tip!")</f>
        <v/>
      </c>
    </row>
    <row r="7">
      <c r="A7" s="7" t="inlineStr">
        <is>
          <t>Q3</t>
        </is>
      </c>
      <c r="B7" s="5" t="inlineStr">
        <is>
          <t>Linear Equations (Infinitely Many Solutions)</t>
        </is>
      </c>
      <c r="C7" s="5" t="inlineStr">
        <is>
          <t>Given the equation: 15x + 435 = a(x + 29).</t>
        </is>
      </c>
      <c r="D7" s="5" t="inlineStr">
        <is>
          <t>Calculator Allowed. If the equation has infinitely many solutions, what is the value of a?</t>
        </is>
      </c>
      <c r="E7" s="5" t="inlineStr">
        <is>
          <t>Student-Produced Response (Grid-in)</t>
        </is>
      </c>
      <c r="F7" s="14" t="n"/>
      <c r="G7" s="7">
        <f>IF(ISBLANK(F7), "⏳ Chờ đáp án", IF(UPPER(TRIM(F7))="15", "✅ Đúng", "❌ Sai"))</f>
        <v/>
      </c>
      <c r="H7" s="14" t="n"/>
      <c r="I7" s="7">
        <f>IF(ISBLANK(H7), "", IF(UPPER(TRIM(H7))="15", "✅ Đúng", "❌ Sai"))</f>
        <v/>
      </c>
      <c r="J7" s="14" t="n"/>
      <c r="K7" s="7">
        <f>IF(ISBLANK(J7), "", IF(UPPER(TRIM(J7))="15", "✅ Đúng", "❌ Sai"))</f>
        <v/>
      </c>
      <c r="L7" s="7">
        <f>COUNTIF(G7, "❌ Sai") + COUNTIF(I7, "❌ Sai") + COUNTIF(K7, "❌ Sai")</f>
        <v/>
      </c>
      <c r="M7" s="7">
        <f>IF(ISBLANK(F7), "⏳ Chờ làm", IF(G7="✅ Đúng", "✅ Đúng ngay L1", IF(I7="✅ Đúng", "✅ Đúng ở L2", IF(K7="✅ Đúng", "✅ Đúng ở L3", "❌ Chưa đúng sau 3 lần"))))</f>
        <v/>
      </c>
      <c r="N7" s="13">
        <f>IF(G7="✅ Đúng", 1, IF(I7="✅ Đúng", 0.667, IF(K7="✅ Đúng", 0.333, 0)))</f>
        <v/>
      </c>
      <c r="O7" s="5">
        <f>IF(ISBLANK(F7), "💡 Nhập đáp án vào Lần thử 1", IF(OR(G7="✅ Đúng", I7="✅ Đúng", K7="✅ Đúng"), "✨ Xuất sắc! Bạn đã làm đúng.", IF(NOT(ISBLANK(J7)), "💡 Gợi ý Tầng 3 (Chốt phương pháp): " &amp; "Thiết lập tỉ lệ giữa các hệ số x, y và hằng số tự do để giải tìm ẩn số.", IF(NOT(ISBLANK(H7)), "💡 Gợi ý Tầng 2 (Manh mối cấu trúc &amp; Loại trừ): " &amp; "Hệ có vô số nghiệm khi hai phương trình trùng nhau hoàn toàn (mọi hệ số tương ứng tỉ lệ).", "💡 Gợi ý Tầng 1 (Định hướng bối cảnh): " &amp; "Xác định điều kiện để hệ phương trình tuyến tính có vô số nghiệm."))))</f>
        <v/>
      </c>
      <c r="P7" s="5">
        <f>IF(OR(G7="✅ Đúng", I7="✅ Đúng", K7="✅ Đúng"), "Infinitely Many Solutions: Identical coefficients on both sides =&gt; a = 15.", "🔒 Trả lời đúng để mở khóa Strategic Tip!")</f>
        <v/>
      </c>
    </row>
    <row r="8">
      <c r="A8" s="7" t="inlineStr">
        <is>
          <t>Q4</t>
        </is>
      </c>
      <c r="B8" s="5" t="inlineStr">
        <is>
          <t>Linear Modeling (Pricing Structure)</t>
        </is>
      </c>
      <c r="C8" s="5" t="inlineStr">
        <is>
          <t>A plumbing company charges 116 dollars for the first hour and 70 dollars for each additional hour, plus parts cost z dollars (x &gt;= 1).</t>
        </is>
      </c>
      <c r="D8" s="5" t="inlineStr">
        <is>
          <t>Calculator Allowed. Which equation represents total cost y?</t>
        </is>
      </c>
      <c r="E8" s="5" t="inlineStr">
        <is>
          <t>A. Lựa chọn A
B. Lựa chọn B
C. Lựa chọn C
D. Lựa chọn D</t>
        </is>
      </c>
      <c r="F8" s="14" t="n"/>
      <c r="G8" s="7">
        <f>IF(ISBLANK(F8), "⏳ Chờ đáp án", IF(UPPER(TRIM(F8))="B", "✅ Đúng", "❌ Sai"))</f>
        <v/>
      </c>
      <c r="H8" s="14" t="n"/>
      <c r="I8" s="7">
        <f>IF(ISBLANK(H8), "", IF(UPPER(TRIM(H8))="B", "✅ Đúng", "❌ Sai"))</f>
        <v/>
      </c>
      <c r="J8" s="14" t="n"/>
      <c r="K8" s="7">
        <f>IF(ISBLANK(J8), "", IF(UPPER(TRIM(J8))="B", "✅ Đúng", "❌ Sai"))</f>
        <v/>
      </c>
      <c r="L8" s="7">
        <f>COUNTIF(G8, "❌ Sai") + COUNTIF(I8, "❌ Sai") + COUNTIF(K8, "❌ Sai")</f>
        <v/>
      </c>
      <c r="M8" s="7">
        <f>IF(ISBLANK(F8), "⏳ Chờ làm", IF(G8="✅ Đúng", "✅ Đúng ngay L1", IF(I8="✅ Đúng", "✅ Đúng ở L2", IF(K8="✅ Đúng", "✅ Đúng ở L3", "❌ Chưa đúng sau 3 lần"))))</f>
        <v/>
      </c>
      <c r="N8" s="13">
        <f>IF(G8="✅ Đúng", 1, IF(I8="✅ Đúng", 0.667, IF(K8="✅ Đúng", 0.333, 0)))</f>
        <v/>
      </c>
      <c r="O8" s="5">
        <f>IF(ISBLANK(F8), "💡 Nhập đáp án vào Lần thử 1", IF(OR(G8="✅ Đúng", I8="✅ Đúng", K8="✅ Đúng"), "✨ Xuất sắc! Bạn đã làm đúng.", IF(NOT(ISBLANK(J8)), "💡 Gợi ý Tầng 3 (Chốt phương pháp): " &amp; "Thiết lập biểu thức đại số biểu diễn tổng chi phí.", IF(NOT(ISBLANK(H8)), "💡 Gợi ý Tầng 2 (Manh mối cấu trúc &amp; Loại trừ): " &amp; "Xác định chi phí cố định (b) và chi phí biến đổi theo đơn vị (m).", "💡 Gợi ý Tầng 1 (Định hướng bối cảnh): " &amp; "Mô hình hóa chi phí bằng hàm tuyến tính y = mx + b."))))</f>
        <v/>
      </c>
      <c r="P8" s="5">
        <f>IF(OR(G8="✅ Đúng", I8="✅ Đúng", K8="✅ Đúng"), "Cost Model: y = First Hour + Additional Hours*(x - 1) + Parts = 116 + 70(x - 1) + z = 70x + z + 46.", "🔒 Trả lời đúng để mở khóa Strategic Tip!")</f>
        <v/>
      </c>
    </row>
    <row r="9">
      <c r="A9" s="7" t="inlineStr">
        <is>
          <t>Q5</t>
        </is>
      </c>
      <c r="B9" s="5" t="inlineStr">
        <is>
          <t>Absolute Value Functions</t>
        </is>
      </c>
      <c r="C9" s="5" t="inlineStr">
        <is>
          <t>Function h(x) = |x - 8| - |6 - x| + a. Given h(-4) = 1.</t>
        </is>
      </c>
      <c r="D9" s="5" t="inlineStr">
        <is>
          <t>Calculator Allowed. What is the value of a?</t>
        </is>
      </c>
      <c r="E9" s="5" t="inlineStr">
        <is>
          <t>Student-Produced Response (Grid-in)</t>
        </is>
      </c>
      <c r="F9" s="14" t="n"/>
      <c r="G9" s="7">
        <f>IF(ISBLANK(F9), "⏳ Chờ đáp án", IF(UPPER(TRIM(F9))="-1", "✅ Đúng", "❌ Sai"))</f>
        <v/>
      </c>
      <c r="H9" s="14" t="n"/>
      <c r="I9" s="7">
        <f>IF(ISBLANK(H9), "", IF(UPPER(TRIM(H9))="-1", "✅ Đúng", "❌ Sai"))</f>
        <v/>
      </c>
      <c r="J9" s="14" t="n"/>
      <c r="K9" s="7">
        <f>IF(ISBLANK(J9), "", IF(UPPER(TRIM(J9))="-1", "✅ Đúng", "❌ Sai"))</f>
        <v/>
      </c>
      <c r="L9" s="7">
        <f>COUNTIF(G9, "❌ Sai") + COUNTIF(I9, "❌ Sai") + COUNTIF(K9, "❌ Sai")</f>
        <v/>
      </c>
      <c r="M9" s="7">
        <f>IF(ISBLANK(F9), "⏳ Chờ làm", IF(G9="✅ Đúng", "✅ Đúng ngay L1", IF(I9="✅ Đúng", "✅ Đúng ở L2", IF(K9="✅ Đúng", "✅ Đúng ở L3", "❌ Chưa đúng sau 3 lần"))))</f>
        <v/>
      </c>
      <c r="N9" s="13">
        <f>IF(G9="✅ Đúng", 1, IF(I9="✅ Đúng", 0.667, IF(K9="✅ Đúng", 0.333, 0)))</f>
        <v/>
      </c>
      <c r="O9" s="5">
        <f>IF(ISBLANK(F9), "💡 Nhập đáp án vào Lần thử 1", IF(OR(G9="✅ Đúng", I9="✅ Đúng", K9="✅ Đúng"), "✨ Xuất sắc! Bạn đã làm đúng.", IF(NOT(ISBLANK(J9)), "💡 Gợi ý Tầng 3 (Chốt phương pháp): " &amp; "Thay giá trị x đề bài yêu cầu vào biểu thức để tính giá trị hàm số.", IF(NOT(ISBLANK(H9)), "💡 Gợi ý Tầng 2 (Manh mối cấu trúc &amp; Loại trừ): " &amp; "Xác định tọa độ đỉnh cực trị (h, k) của hàm số.", "💡 Gợi ý Tầng 1 (Định hướng bối cảnh): " &amp; "Phân tích đồ thị hoặc tập giá trị của hàm giá trị tuyệt đối dạng y = |x - h| + k."))))</f>
        <v/>
      </c>
      <c r="P9" s="5">
        <f>IF(OR(G9="✅ Đúng", I9="✅ Đúng", K9="✅ Đúng"), "Evaluate h(-4): 12 - 10 + a = 1 =&gt; 2 + a = 1 =&gt; a = -1.", "🔒 Trả lời đúng để mở khóa Strategic Tip!")</f>
        <v/>
      </c>
    </row>
    <row r="10">
      <c r="A10" s="7" t="inlineStr">
        <is>
          <t>Q6</t>
        </is>
      </c>
      <c r="B10" s="5" t="inlineStr">
        <is>
          <t>Perpendicular Lines Slope</t>
        </is>
      </c>
      <c r="C10" s="5" t="inlineStr">
        <is>
          <t>Line h is defined by 2x + 3y - 30 = 0. Line j is perpendicular to line h in the xy-plane.</t>
        </is>
      </c>
      <c r="D10" s="5" t="inlineStr">
        <is>
          <t>Calculator Allowed. What is the slope of line j?</t>
        </is>
      </c>
      <c r="E10" s="5" t="inlineStr">
        <is>
          <t>A. Lựa chọn A
B. Lựa chọn B
C. Lựa chọn C
D. Lựa chọn D</t>
        </is>
      </c>
      <c r="F10" s="14" t="n"/>
      <c r="G10" s="7">
        <f>IF(ISBLANK(F10), "⏳ Chờ đáp án", IF(UPPER(TRIM(F10))="D", "✅ Đúng", "❌ Sai"))</f>
        <v/>
      </c>
      <c r="H10" s="14" t="n"/>
      <c r="I10" s="7">
        <f>IF(ISBLANK(H10), "", IF(UPPER(TRIM(H10))="D", "✅ Đúng", "❌ Sai"))</f>
        <v/>
      </c>
      <c r="J10" s="14" t="n"/>
      <c r="K10" s="7">
        <f>IF(ISBLANK(J10), "", IF(UPPER(TRIM(J10))="D", "✅ Đúng", "❌ Sai"))</f>
        <v/>
      </c>
      <c r="L10" s="7">
        <f>COUNTIF(G10, "❌ Sai") + COUNTIF(I10, "❌ Sai") + COUNTIF(K10, "❌ Sai")</f>
        <v/>
      </c>
      <c r="M10" s="7">
        <f>IF(ISBLANK(F10), "⏳ Chờ làm", IF(G10="✅ Đúng", "✅ Đúng ngay L1", IF(I10="✅ Đúng", "✅ Đúng ở L2", IF(K10="✅ Đúng", "✅ Đúng ở L3", "❌ Chưa đúng sau 3 lần"))))</f>
        <v/>
      </c>
      <c r="N10" s="13">
        <f>IF(G10="✅ Đúng", 1, IF(I10="✅ Đúng", 0.667, IF(K10="✅ Đúng", 0.333, 0)))</f>
        <v/>
      </c>
      <c r="O10" s="5">
        <f>IF(ISBLANK(F10), "💡 Nhập đáp án vào Lần thử 1", IF(OR(G10="✅ Đúng", I10="✅ Đúng", K10="✅ Đúng"), "✨ Xuất sắc! Bạn đã làm đúng.", IF(NOT(ISBLANK(J10)), "💡 Gợi ý Tầng 3 (Chốt phương pháp): " &amp; "Lấy nghịch đảo và đổi dấu hệ số góc của đường thẳng ban đầu.", IF(NOT(ISBLANK(H10)), "💡 Gợi ý Tầng 2 (Manh mối cấu trúc &amp; Loại trừ): " &amp; "Hai đường thẳng vuông góc có tích hai hệ số góc bằng -1 (m1 * m2 = -1).", "💡 Gợi ý Tầng 1 (Định hướng bối cảnh): " &amp; "Áp dụng tính chất hệ số góc của hai đường thẳng vuông góc."))))</f>
        <v/>
      </c>
      <c r="P10" s="5">
        <f>IF(OR(G10="✅ Đúng", I10="✅ Đúng", K10="✅ Đúng"), "Perpendicular Slope Condition: m1 * m2 = -1 =&gt; m_j = 3/2.", "🔒 Trả lời đúng để mở khóa Strategic Tip!")</f>
        <v/>
      </c>
    </row>
    <row r="11">
      <c r="A11" s="7" t="inlineStr">
        <is>
          <t>Q7</t>
        </is>
      </c>
      <c r="B11" s="5" t="inlineStr">
        <is>
          <t>Exponential Population Growth Rate</t>
        </is>
      </c>
      <c r="C11" s="5" t="inlineStr">
        <is>
          <t>Model P(t) = 250(1.08)^t gives the population after t hours.</t>
        </is>
      </c>
      <c r="D11" s="5" t="inlineStr">
        <is>
          <t>Calculator Allowed. By what percentage does the population increase each hour?</t>
        </is>
      </c>
      <c r="E11" s="5" t="inlineStr">
        <is>
          <t>A. 0.08%
B. 8%
C. 25%
D. 108%</t>
        </is>
      </c>
      <c r="F11" s="14" t="n"/>
      <c r="G11" s="7">
        <f>IF(ISBLANK(F11), "⏳ Chờ đáp án", IF(UPPER(TRIM(F11))="B", "✅ Đúng", "❌ Sai"))</f>
        <v/>
      </c>
      <c r="H11" s="14" t="n"/>
      <c r="I11" s="7">
        <f>IF(ISBLANK(H11), "", IF(UPPER(TRIM(H11))="B", "✅ Đúng", "❌ Sai"))</f>
        <v/>
      </c>
      <c r="J11" s="14" t="n"/>
      <c r="K11" s="7">
        <f>IF(ISBLANK(J11), "", IF(UPPER(TRIM(J11))="B", "✅ Đúng", "❌ Sai"))</f>
        <v/>
      </c>
      <c r="L11" s="7">
        <f>COUNTIF(G11, "❌ Sai") + COUNTIF(I11, "❌ Sai") + COUNTIF(K11, "❌ Sai")</f>
        <v/>
      </c>
      <c r="M11" s="7">
        <f>IF(ISBLANK(F11), "⏳ Chờ làm", IF(G11="✅ Đúng", "✅ Đúng ngay L1", IF(I11="✅ Đúng", "✅ Đúng ở L2", IF(K11="✅ Đúng", "✅ Đúng ở L3", "❌ Chưa đúng sau 3 lần"))))</f>
        <v/>
      </c>
      <c r="N11" s="13">
        <f>IF(G11="✅ Đúng", 1, IF(I11="✅ Đúng", 0.667, IF(K11="✅ Đúng", 0.333, 0)))</f>
        <v/>
      </c>
      <c r="O11" s="5">
        <f>IF(ISBLANK(F11), "💡 Nhập đáp án vào Lần thử 1", IF(OR(G11="✅ Đúng", I11="✅ Đúng", K11="✅ Đúng"), "✨ Xuất sắc! Bạn đã làm đúng.", IF(NOT(ISBLANK(J11)), "💡 Gợi ý Tầng 3 (Chốt phương pháp): " &amp; "Chuyển đổi r sang dạng phần trăm %.", IF(NOT(ISBLANK(H11)), "💡 Gợi ý Tầng 2 (Manh mối cấu trúc &amp; Loại trừ): " &amp; "So sánh thừa số cơ số trong ngoặc với dạng (1 + r).", "💡 Gợi ý Tầng 1 (Định hướng bối cảnh): " &amp; "Xác định tỉ lệ tăng trưởng trong mô hình suy giảm/tăng trưởng mũ y = a(1 + r)^t."))))</f>
        <v/>
      </c>
      <c r="P11" s="5">
        <f>IF(OR(G11="✅ Đúng", I11="✅ Đúng", K11="✅ Đúng"), "Growth Factor = 1 + r =&gt; 1.08 = 1 + 0.08 =&gt; r = 8%.", "🔒 Trả lời đúng để mở khóa Strategic Tip!")</f>
        <v/>
      </c>
    </row>
    <row r="12">
      <c r="A12" s="7" t="inlineStr">
        <is>
          <t>Q8</t>
        </is>
      </c>
      <c r="B12" s="5" t="inlineStr">
        <is>
          <t>Exponential Cooling Evaluation</t>
        </is>
      </c>
      <c r="C12" s="5" t="inlineStr">
        <is>
          <t>Temperature function g(t) = 296 + (362 - 296)(2.72)^(-0.104t).</t>
        </is>
      </c>
      <c r="D12" s="5" t="inlineStr">
        <is>
          <t>Calculator Allowed. What was the approximate temperature, in kelvins, when the liquid was placed on the table (t = 0)?</t>
        </is>
      </c>
      <c r="E12" s="5" t="inlineStr">
        <is>
          <t>Student-Produced Response (Grid-in)</t>
        </is>
      </c>
      <c r="F12" s="14" t="n"/>
      <c r="G12" s="7">
        <f>IF(ISBLANK(F12), "⏳ Chờ đáp án", IF(UPPER(TRIM(F12))="362", "✅ Đúng", "❌ Sai"))</f>
        <v/>
      </c>
      <c r="H12" s="14" t="n"/>
      <c r="I12" s="7">
        <f>IF(ISBLANK(H12), "", IF(UPPER(TRIM(H12))="362", "✅ Đúng", "❌ Sai"))</f>
        <v/>
      </c>
      <c r="J12" s="14" t="n"/>
      <c r="K12" s="7">
        <f>IF(ISBLANK(J12), "", IF(UPPER(TRIM(J12))="362", "✅ Đúng", "❌ Sai"))</f>
        <v/>
      </c>
      <c r="L12" s="7">
        <f>COUNTIF(G12, "❌ Sai") + COUNTIF(I12, "❌ Sai") + COUNTIF(K12, "❌ Sai")</f>
        <v/>
      </c>
      <c r="M12" s="7">
        <f>IF(ISBLANK(F12), "⏳ Chờ làm", IF(G12="✅ Đúng", "✅ Đúng ngay L1", IF(I12="✅ Đúng", "✅ Đúng ở L2", IF(K12="✅ Đúng", "✅ Đúng ở L3", "❌ Chưa đúng sau 3 lần"))))</f>
        <v/>
      </c>
      <c r="N12" s="13">
        <f>IF(G12="✅ Đúng", 1, IF(I12="✅ Đúng", 0.667, IF(K12="✅ Đúng", 0.333, 0)))</f>
        <v/>
      </c>
      <c r="O12" s="5">
        <f>IF(ISBLANK(F12), "💡 Nhập đáp án vào Lần thử 1", IF(OR(G12="✅ Đúng", I12="✅ Đúng", K12="✅ Đúng"), "✨ Xuất sắc! Bạn đã làm đúng.", IF(NOT(ISBLANK(J12)), "💡 Gợi ý Tầng 3 (Chốt phương pháp): " &amp; "Thực hiện phép tính lũy thừa rồi nhân với hệ số ban đầu.", IF(NOT(ISBLANK(H12)), "💡 Gợi ý Tầng 2 (Manh mối cấu trúc &amp; Loại trừ): " &amp; "Thay giá trị thời gian t đề bài cho vào công thức.", "💡 Gợi ý Tầng 1 (Định hướng bối cảnh): " &amp; "Đánh giá giá trị hàm suy giảm mũ theo thời gian t."))))</f>
        <v/>
      </c>
      <c r="P12" s="5">
        <f>IF(OR(G12="✅ Đúng", I12="✅ Đúng", K12="✅ Đúng"), "Evaluate at t = 0: g(0) = 296 + (362 - 296) * 1 = 362.", "🔒 Trả lời đúng để mở khóa Strategic Tip!")</f>
        <v/>
      </c>
    </row>
    <row r="13">
      <c r="A13" s="7" t="inlineStr">
        <is>
          <t>Q9</t>
        </is>
      </c>
      <c r="B13" s="5" t="inlineStr">
        <is>
          <t>Linear Inequalities (Graphing)</t>
        </is>
      </c>
      <c r="C13" s="5" t="inlineStr">
        <is>
          <t>A shaded region lies below the line passing through (0, 4) with slope -3.</t>
        </is>
      </c>
      <c r="D13" s="5" t="inlineStr">
        <is>
          <t>Calculator Allowed. Which inequality represents the shaded region?</t>
        </is>
      </c>
      <c r="E13" s="5" t="inlineStr">
        <is>
          <t>A. Lựa chọn A
B. Lựa chọn B
C. Lựa chọn C
D. Lựa chọn D</t>
        </is>
      </c>
      <c r="F13" s="14" t="n"/>
      <c r="G13" s="7">
        <f>IF(ISBLANK(F13), "⏳ Chờ đáp án", IF(UPPER(TRIM(F13))="C", "✅ Đúng", "❌ Sai"))</f>
        <v/>
      </c>
      <c r="H13" s="14" t="n"/>
      <c r="I13" s="7">
        <f>IF(ISBLANK(H13), "", IF(UPPER(TRIM(H13))="C", "✅ Đúng", "❌ Sai"))</f>
        <v/>
      </c>
      <c r="J13" s="14" t="n"/>
      <c r="K13" s="7">
        <f>IF(ISBLANK(J13), "", IF(UPPER(TRIM(J13))="C", "✅ Đúng", "❌ Sai"))</f>
        <v/>
      </c>
      <c r="L13" s="7">
        <f>COUNTIF(G13, "❌ Sai") + COUNTIF(I13, "❌ Sai") + COUNTIF(K13, "❌ Sai")</f>
        <v/>
      </c>
      <c r="M13" s="7">
        <f>IF(ISBLANK(F13), "⏳ Chờ làm", IF(G13="✅ Đúng", "✅ Đúng ngay L1", IF(I13="✅ Đúng", "✅ Đúng ở L2", IF(K13="✅ Đúng", "✅ Đúng ở L3", "❌ Chưa đúng sau 3 lần"))))</f>
        <v/>
      </c>
      <c r="N13" s="13">
        <f>IF(G13="✅ Đúng", 1, IF(I13="✅ Đúng", 0.667, IF(K13="✅ Đúng", 0.333, 0)))</f>
        <v/>
      </c>
      <c r="O13" s="5">
        <f>IF(ISBLANK(F13), "💡 Nhập đáp án vào Lần thử 1", IF(OR(G13="✅ Đúng", I13="✅ Đúng", K13="✅ Đúng"), "✨ Xuất sắc! Bạn đã làm đúng.", IF(NOT(ISBLANK(J13)), "💡 Gợi ý Tầng 3 (Chốt phương pháp): " &amp; "Miền nghiệm nằm bên dưới đường biên nếu là dấu '&lt;' hoặc bên trên nếu là dấu '&gt;'.", IF(NOT(ISBLANK(H13)), "💡 Gợi ý Tầng 2 (Manh mối cấu trúc &amp; Loại trừ): " &amp; "Đưa bất phương trình về dạng y &lt; mx + b hoặc y &gt; mx + b.", "💡 Gợi ý Tầng 1 (Định hướng bối cảnh): " &amp; "Xác định miền nghiệm của bất phương trình tuyến tính trên mặt phẳng tọa độ."))))</f>
        <v/>
      </c>
      <c r="P13" s="5">
        <f>IF(OR(G13="✅ Đúng", I13="✅ Đúng", K13="✅ Đúng"), "Linear Inequality: Region below solid line y = -3x + 4 is y &lt; -3x + 4.", "🔒 Trả lời đúng để mở khóa Strategic Tip!")</f>
        <v/>
      </c>
    </row>
    <row r="14">
      <c r="A14" s="7" t="inlineStr">
        <is>
          <t>Q10</t>
        </is>
      </c>
      <c r="B14" s="5" t="inlineStr">
        <is>
          <t>Systems of Linear Equations (Substitution)</t>
        </is>
      </c>
      <c r="C14" s="5" t="inlineStr">
        <is>
          <t>System of equations: 3(2x) + 8(9y) = 534 and 3(2x) - 8(9y) = -618.</t>
        </is>
      </c>
      <c r="D14" s="5" t="inlineStr">
        <is>
          <t>Calculator Allowed. What is the value of 2x + 9y?</t>
        </is>
      </c>
      <c r="E14" s="5" t="inlineStr">
        <is>
          <t>A. Lựa chọn A
B. Lựa chọn B
C. Lựa chọn C
D. Lựa chọn D</t>
        </is>
      </c>
      <c r="F14" s="14" t="n"/>
      <c r="G14" s="7">
        <f>IF(ISBLANK(F14), "⏳ Chờ đáp án", IF(UPPER(TRIM(F14))="C", "✅ Đúng", "❌ Sai"))</f>
        <v/>
      </c>
      <c r="H14" s="14" t="n"/>
      <c r="I14" s="7">
        <f>IF(ISBLANK(H14), "", IF(UPPER(TRIM(H14))="C", "✅ Đúng", "❌ Sai"))</f>
        <v/>
      </c>
      <c r="J14" s="14" t="n"/>
      <c r="K14" s="7">
        <f>IF(ISBLANK(J14), "", IF(UPPER(TRIM(J14))="C", "✅ Đúng", "❌ Sai"))</f>
        <v/>
      </c>
      <c r="L14" s="7">
        <f>COUNTIF(G14, "❌ Sai") + COUNTIF(I14, "❌ Sai") + COUNTIF(K14, "❌ Sai")</f>
        <v/>
      </c>
      <c r="M14" s="7">
        <f>IF(ISBLANK(F14), "⏳ Chờ làm", IF(G14="✅ Đúng", "✅ Đúng ngay L1", IF(I14="✅ Đúng", "✅ Đúng ở L2", IF(K14="✅ Đúng", "✅ Đúng ở L3", "❌ Chưa đúng sau 3 lần"))))</f>
        <v/>
      </c>
      <c r="N14" s="13">
        <f>IF(G14="✅ Đúng", 1, IF(I14="✅ Đúng", 0.667, IF(K14="✅ Đúng", 0.333, 0)))</f>
        <v/>
      </c>
      <c r="O14" s="5">
        <f>IF(ISBLANK(F14), "💡 Nhập đáp án vào Lần thử 1", IF(OR(G14="✅ Đúng", I14="✅ Đúng", K14="✅ Đúng"), "✨ Xuất sắc! Bạn đã làm đúng.", IF(NOT(ISBLANK(J14)), "💡 Gợi ý Tầng 3 (Chốt phương pháp): " &amp; "Giải tìm biến thứ nhất rồi thế ngược lại để tìm biến thứ hai.", IF(NOT(ISBLANK(H14)), "💡 Gợi ý Tầng 2 (Manh mối cấu trúc &amp; Loại trừ): " &amp; "Nhân các phương trình với hệ số thích hợp để triệt tiêu một biến.", "💡 Gợi ý Tầng 1 (Định hướng bối cảnh): " &amp; "Giải hệ phương trình tuyến tính hai ẩn bằng phương pháp thế hoặc cộng đại số."))))</f>
        <v/>
      </c>
      <c r="P14" s="5">
        <f>IF(OR(G14="✅ Đúng", I14="✅ Đúng", K14="✅ Đúng"), "Add equations: 12x = -84 =&gt; x = -7 =&gt; 2x = -14; 144y = 1152 =&gt; 9y = 72 =&gt; -14 + 72 = 58.", "🔒 Trả lời đúng để mở khóa Strategic Tip!")</f>
        <v/>
      </c>
    </row>
    <row r="15">
      <c r="A15" s="7" t="inlineStr">
        <is>
          <t>Q11</t>
        </is>
      </c>
      <c r="B15" s="5" t="inlineStr">
        <is>
          <t>Quadratic Vertex &amp; Maximum</t>
        </is>
      </c>
      <c r="C15" s="5" t="inlineStr">
        <is>
          <t>Given the function f(x) = -2(x - 3)^2 + 8.</t>
        </is>
      </c>
      <c r="D15" s="5" t="inlineStr">
        <is>
          <t>Calculator Allowed. What is the maximum value of f(x)?</t>
        </is>
      </c>
      <c r="E15" s="5" t="inlineStr">
        <is>
          <t>A. Lựa chọn A
B. Lựa chọn B
C. Lựa chọn C
D. Lựa chọn D</t>
        </is>
      </c>
      <c r="F15" s="14" t="n"/>
      <c r="G15" s="7">
        <f>IF(ISBLANK(F15), "⏳ Chờ đáp án", IF(UPPER(TRIM(F15))="D", "✅ Đúng", "❌ Sai"))</f>
        <v/>
      </c>
      <c r="H15" s="14" t="n"/>
      <c r="I15" s="7">
        <f>IF(ISBLANK(H15), "", IF(UPPER(TRIM(H15))="D", "✅ Đúng", "❌ Sai"))</f>
        <v/>
      </c>
      <c r="J15" s="14" t="n"/>
      <c r="K15" s="7">
        <f>IF(ISBLANK(J15), "", IF(UPPER(TRIM(J15))="D", "✅ Đúng", "❌ Sai"))</f>
        <v/>
      </c>
      <c r="L15" s="7">
        <f>COUNTIF(G15, "❌ Sai") + COUNTIF(I15, "❌ Sai") + COUNTIF(K15, "❌ Sai")</f>
        <v/>
      </c>
      <c r="M15" s="7">
        <f>IF(ISBLANK(F15), "⏳ Chờ làm", IF(G15="✅ Đúng", "✅ Đúng ngay L1", IF(I15="✅ Đúng", "✅ Đúng ở L2", IF(K15="✅ Đúng", "✅ Đúng ở L3", "❌ Chưa đúng sau 3 lần"))))</f>
        <v/>
      </c>
      <c r="N15" s="13">
        <f>IF(G15="✅ Đúng", 1, IF(I15="✅ Đúng", 0.667, IF(K15="✅ Đúng", 0.333, 0)))</f>
        <v/>
      </c>
      <c r="O15" s="5">
        <f>IF(ISBLANK(F15), "💡 Nhập đáp án vào Lần thử 1", IF(OR(G15="✅ Đúng", I15="✅ Đúng", K15="✅ Đúng"), "✨ Xuất sắc! Bạn đã làm đúng.", IF(NOT(ISBLANK(J15)), "💡 Gợi ý Tầng 3 (Chốt phương pháp): " &amp; "Giá trị cực đại/cực tiểu chính là tung độ đỉnh k.", IF(NOT(ISBLANK(H15)), "💡 Gợi ý Tầng 2 (Manh mối cấu trúc &amp; Loại trừ): " &amp; "Xác định hoành độ đỉnh x = -b / (2a) hoặc đưa về dạng đỉnh a(x - h)^2 + k.", "💡 Gợi ý Tầng 1 (Định hướng bối cảnh): " &amp; "Tìm giá trị lớn nhất/nhỏ nhất của hàm số bậc hai y = ax^2 + bx + c."))))</f>
        <v/>
      </c>
      <c r="P15" s="5">
        <f>IF(OR(G15="✅ Đúng", I15="✅ Đúng", K15="✅ Đúng"), "Parabola Vertex (h, k) with a &lt; 0 has maximum value = k = 8.", "🔒 Trả lời đúng để mở khóa Strategic Tip!")</f>
        <v/>
      </c>
    </row>
    <row r="16">
      <c r="A16" s="7" t="inlineStr">
        <is>
          <t>Q12</t>
        </is>
      </c>
      <c r="B16" s="5" t="inlineStr">
        <is>
          <t>Statistics (Effect of Adding Outlier on Mean &amp; Median)</t>
        </is>
      </c>
      <c r="C16" s="5" t="inlineStr">
        <is>
          <t>A frequency table summarizes ages of 50 coins (mean = 72.5, median = 70). Vivek adds a 51st coin aged 90 years.</t>
        </is>
      </c>
      <c r="D16" s="5" t="inlineStr">
        <is>
          <t>Calculator Allowed. Which statement correctly compares the mean and median ages of the original and new collections?</t>
        </is>
      </c>
      <c r="E16" s="5" t="inlineStr">
        <is>
          <t>A. Lựa chọn A
B. Lựa chọn B
C. Lựa chọn C
D. Lựa chọn D</t>
        </is>
      </c>
      <c r="F16" s="14" t="n"/>
      <c r="G16" s="7">
        <f>IF(ISBLANK(F16), "⏳ Chờ đáp án", IF(UPPER(TRIM(F16))="B", "✅ Đúng", "❌ Sai"))</f>
        <v/>
      </c>
      <c r="H16" s="14" t="n"/>
      <c r="I16" s="7">
        <f>IF(ISBLANK(H16), "", IF(UPPER(TRIM(H16))="B", "✅ Đúng", "❌ Sai"))</f>
        <v/>
      </c>
      <c r="J16" s="14" t="n"/>
      <c r="K16" s="7">
        <f>IF(ISBLANK(J16), "", IF(UPPER(TRIM(J16))="B", "✅ Đúng", "❌ Sai"))</f>
        <v/>
      </c>
      <c r="L16" s="7">
        <f>COUNTIF(G16, "❌ Sai") + COUNTIF(I16, "❌ Sai") + COUNTIF(K16, "❌ Sai")</f>
        <v/>
      </c>
      <c r="M16" s="7">
        <f>IF(ISBLANK(F16), "⏳ Chờ làm", IF(G16="✅ Đúng", "✅ Đúng ngay L1", IF(I16="✅ Đúng", "✅ Đúng ở L2", IF(K16="✅ Đúng", "✅ Đúng ở L3", "❌ Chưa đúng sau 3 lần"))))</f>
        <v/>
      </c>
      <c r="N16" s="13">
        <f>IF(G16="✅ Đúng", 1, IF(I16="✅ Đúng", 0.667, IF(K16="✅ Đúng", 0.333, 0)))</f>
        <v/>
      </c>
      <c r="O16" s="5">
        <f>IF(ISBLANK(F16), "💡 Nhập đáp án vào Lần thử 1", IF(OR(G16="✅ Đúng", I16="✅ Đúng", K16="✅ Đúng"), "✨ Xuất sắc! Bạn đã làm đúng.", IF(NOT(ISBLANK(J16)), "💡 Gợi ý Tầng 3 (Chốt phương pháp): " &amp; "Số trung bình Mean sẽ dịch chuyển về phía outlier, trong khi Median ít bị ảnh hưởng.", IF(NOT(ISBLANK(H16)), "💡 Gợi ý Tầng 2 (Manh mối cấu trúc &amp; Loại trừ): " &amp; "So sánh giá trị ngoại lai với số trung bình (Mean) hiện tại.", "💡 Gợi ý Tầng 1 (Định hướng bối cảnh): " &amp; "Đánh giá tác động của việc thêm một giá trị ngoại lai (outlier) vào tập dữ liệu."))))</f>
        <v/>
      </c>
      <c r="P16" s="5">
        <f>IF(OR(G16="✅ Đúng", I16="✅ Đúng", K16="✅ Đúng"), "Adding a high value increases Mean; Median position remains in the same frequency bin.", "🔒 Trả lời đúng để mở khóa Strategic Tip!")</f>
        <v/>
      </c>
    </row>
    <row r="17">
      <c r="A17" s="7" t="inlineStr">
        <is>
          <t>Q13</t>
        </is>
      </c>
      <c r="B17" s="5" t="inlineStr">
        <is>
          <t>Non-linear Systems (Circle &amp; Line)</t>
        </is>
      </c>
      <c r="C17" s="5" t="inlineStr">
        <is>
          <t>System of equations: x^2 + y^2 = 64 and y = mx + b/2. Intersect at (-7, y) with y &lt; 0.</t>
        </is>
      </c>
      <c r="D17" s="5" t="inlineStr">
        <is>
          <t>Calculator Allowed. Which expression represents the value of b?</t>
        </is>
      </c>
      <c r="E17" s="5" t="inlineStr">
        <is>
          <t>A. Lựa chọn A
B. Lựa chọn B
C. Lựa chọn C
D. Lựa chọn D</t>
        </is>
      </c>
      <c r="F17" s="14" t="n"/>
      <c r="G17" s="7">
        <f>IF(ISBLANK(F17), "⏳ Chờ đáp án", IF(UPPER(TRIM(F17))="A", "✅ Đúng", "❌ Sai"))</f>
        <v/>
      </c>
      <c r="H17" s="14" t="n"/>
      <c r="I17" s="7">
        <f>IF(ISBLANK(H17), "", IF(UPPER(TRIM(H17))="A", "✅ Đúng", "❌ Sai"))</f>
        <v/>
      </c>
      <c r="J17" s="14" t="n"/>
      <c r="K17" s="7">
        <f>IF(ISBLANK(J17), "", IF(UPPER(TRIM(J17))="A", "✅ Đúng", "❌ Sai"))</f>
        <v/>
      </c>
      <c r="L17" s="7">
        <f>COUNTIF(G17, "❌ Sai") + COUNTIF(I17, "❌ Sai") + COUNTIF(K17, "❌ Sai")</f>
        <v/>
      </c>
      <c r="M17" s="7">
        <f>IF(ISBLANK(F17), "⏳ Chờ làm", IF(G17="✅ Đúng", "✅ Đúng ngay L1", IF(I17="✅ Đúng", "✅ Đúng ở L2", IF(K17="✅ Đúng", "✅ Đúng ở L3", "❌ Chưa đúng sau 3 lần"))))</f>
        <v/>
      </c>
      <c r="N17" s="13">
        <f>IF(G17="✅ Đúng", 1, IF(I17="✅ Đúng", 0.667, IF(K17="✅ Đúng", 0.333, 0)))</f>
        <v/>
      </c>
      <c r="O17" s="5">
        <f>IF(ISBLANK(F17), "💡 Nhập đáp án vào Lần thử 1", IF(OR(G17="✅ Đúng", I17="✅ Đúng", K17="✅ Đúng"), "✨ Xuất sắc! Bạn đã làm đúng.", IF(NOT(ISBLANK(J17)), "💡 Gợi ý Tầng 3 (Chốt phương pháp): " &amp; "Giải phương trình bậc hai một ẩn thu được để tìm tọa độ giao điểm.", IF(NOT(ISBLANK(H17)), "💡 Gợi ý Tầng 2 (Manh mối cấu trúc &amp; Loại trừ): " &amp; "Thế biểu thức y (hoặc x) từ phương trình đường thẳng vào phương trình đường tròn.", "💡 Gợi ý Tầng 1 (Định hướng bối cảnh): " &amp; "Giải hệ phương trình gồm đường thẳng và đường tròn."))))</f>
        <v/>
      </c>
      <c r="P17" s="5">
        <f>IF(OR(G17="✅ Đúng", I17="✅ Đúng", K17="✅ Đúng"), "Substitute (-7, -sqrt(15)) into line equation =&gt; -sqrt(15) = -7m + b/2 =&gt; b = 14m - 2*sqrt(15).", "🔒 Trả lời đúng để mở khóa Strategic Tip!")</f>
        <v/>
      </c>
    </row>
    <row r="18">
      <c r="A18" s="7" t="inlineStr">
        <is>
          <t>Q14</t>
        </is>
      </c>
      <c r="B18" s="5" t="inlineStr">
        <is>
          <t>Geometry (Similar Triangles)</t>
        </is>
      </c>
      <c r="C18" s="5" t="inlineStr">
        <is>
          <t>In triangle ABC, DE is parallel to AC, BD = AD, BE = 9, and AC = 8.</t>
        </is>
      </c>
      <c r="D18" s="5" t="inlineStr">
        <is>
          <t>Calculator Allowed. What is the length of BC?</t>
        </is>
      </c>
      <c r="E18" s="5" t="inlineStr">
        <is>
          <t>A. Lựa chọn A
B. Lựa chọn B
C. Lựa chọn C
D. Lựa chọn D</t>
        </is>
      </c>
      <c r="F18" s="14" t="n"/>
      <c r="G18" s="7">
        <f>IF(ISBLANK(F18), "⏳ Chờ đáp án", IF(UPPER(TRIM(F18))="B", "✅ Đúng", "❌ Sai"))</f>
        <v/>
      </c>
      <c r="H18" s="14" t="n"/>
      <c r="I18" s="7">
        <f>IF(ISBLANK(H18), "", IF(UPPER(TRIM(H18))="B", "✅ Đúng", "❌ Sai"))</f>
        <v/>
      </c>
      <c r="J18" s="14" t="n"/>
      <c r="K18" s="7">
        <f>IF(ISBLANK(J18), "", IF(UPPER(TRIM(J18))="B", "✅ Đúng", "❌ Sai"))</f>
        <v/>
      </c>
      <c r="L18" s="7">
        <f>COUNTIF(G18, "❌ Sai") + COUNTIF(I18, "❌ Sai") + COUNTIF(K18, "❌ Sai")</f>
        <v/>
      </c>
      <c r="M18" s="7">
        <f>IF(ISBLANK(F18), "⏳ Chờ làm", IF(G18="✅ Đúng", "✅ Đúng ngay L1", IF(I18="✅ Đúng", "✅ Đúng ở L2", IF(K18="✅ Đúng", "✅ Đúng ở L3", "❌ Chưa đúng sau 3 lần"))))</f>
        <v/>
      </c>
      <c r="N18" s="13">
        <f>IF(G18="✅ Đúng", 1, IF(I18="✅ Đúng", 0.667, IF(K18="✅ Đúng", 0.333, 0)))</f>
        <v/>
      </c>
      <c r="O18" s="5">
        <f>IF(ISBLANK(F18), "💡 Nhập đáp án vào Lần thử 1", IF(OR(G18="✅ Đúng", I18="✅ Đúng", K18="✅ Đúng"), "✨ Xuất sắc! Bạn đã làm đúng.", IF(NOT(ISBLANK(J18)), "💡 Gợi ý Tầng 3 (Chốt phương pháp): " &amp; "Giải phương trình tỉ lệ để tính độ dài đoạn thẳng chưa biết.", IF(NOT(ISBLANK(H18)), "💡 Gợi ý Tầng 2 (Manh mối cấu trúc &amp; Loại trừ): " &amp; "Thiết lập tỉ lệ giữa các đoạn thẳng tương ứng.", "💡 Gợi ý Tầng 1 (Định hướng bối cảnh): " &amp; "Áp dụng định lý đường trung bình hoặc tính chất tam giác đồng dạng."))))</f>
        <v/>
      </c>
      <c r="P18" s="5">
        <f>IF(OR(G18="✅ Đúng", I18="✅ Đúng", K18="✅ Đúng"), "Midpoint Segment Theorem: BC = 2 * BE = 18.", "🔒 Trả lời đúng để mở khóa Strategic Tip!")</f>
        <v/>
      </c>
    </row>
    <row r="19">
      <c r="A19" s="7" t="inlineStr">
        <is>
          <t>Q15</t>
        </is>
      </c>
      <c r="B19" s="5" t="inlineStr">
        <is>
          <t>Systems of Equations Evaluation</t>
        </is>
      </c>
      <c r="C19" s="5" t="inlineStr">
        <is>
          <t>System of equations: 2x + 3y = 19 and 2x - y = 3.</t>
        </is>
      </c>
      <c r="D19" s="5" t="inlineStr">
        <is>
          <t>Calculator Allowed. What is the value of x + y?</t>
        </is>
      </c>
      <c r="E19" s="5" t="inlineStr">
        <is>
          <t>A. Lựa chọn A
B. Lựa chọn B
C. Lựa chọn C
D. Lựa chọn D</t>
        </is>
      </c>
      <c r="F19" s="14" t="n"/>
      <c r="G19" s="7">
        <f>IF(ISBLANK(F19), "⏳ Chờ đáp án", IF(UPPER(TRIM(F19))="C", "✅ Đúng", "❌ Sai"))</f>
        <v/>
      </c>
      <c r="H19" s="14" t="n"/>
      <c r="I19" s="7">
        <f>IF(ISBLANK(H19), "", IF(UPPER(TRIM(H19))="C", "✅ Đúng", "❌ Sai"))</f>
        <v/>
      </c>
      <c r="J19" s="14" t="n"/>
      <c r="K19" s="7">
        <f>IF(ISBLANK(J19), "", IF(UPPER(TRIM(J19))="C", "✅ Đúng", "❌ Sai"))</f>
        <v/>
      </c>
      <c r="L19" s="7">
        <f>COUNTIF(G19, "❌ Sai") + COUNTIF(I19, "❌ Sai") + COUNTIF(K19, "❌ Sai")</f>
        <v/>
      </c>
      <c r="M19" s="7">
        <f>IF(ISBLANK(F19), "⏳ Chờ làm", IF(G19="✅ Đúng", "✅ Đúng ngay L1", IF(I19="✅ Đúng", "✅ Đúng ở L2", IF(K19="✅ Đúng", "✅ Đúng ở L3", "❌ Chưa đúng sau 3 lần"))))</f>
        <v/>
      </c>
      <c r="N19" s="13">
        <f>IF(G19="✅ Đúng", 1, IF(I19="✅ Đúng", 0.667, IF(K19="✅ Đúng", 0.333, 0)))</f>
        <v/>
      </c>
      <c r="O19" s="5">
        <f>IF(ISBLANK(F19), "💡 Nhập đáp án vào Lần thử 1", IF(OR(G19="✅ Đúng", I19="✅ Đúng", K19="✅ Đúng"), "✨ Xuất sắc! Bạn đã làm đúng.", IF(NOT(ISBLANK(J19)), "💡 Gợi ý Tầng 3 (Chốt phương pháp): " &amp; "Thực hiện phép cộng/trừ hai phương trình theo vế.", IF(NOT(ISBLANK(H19)), "💡 Gợi ý Tầng 2 (Manh mối cấu trúc &amp; Loại trừ): " &amp; "Sử dụng phương pháp cộng đại số để tìm trực tiếp biểu thức đề bài yêu cầu.", "💡 Gợi ý Tầng 1 (Định hướng bối cảnh): " &amp; "Giải hệ phương trình tuyến tính hai ẩn."))))</f>
        <v/>
      </c>
      <c r="P19" s="5">
        <f>IF(OR(G19="✅ Đúng", I19="✅ Đúng", K19="✅ Đúng"), "Solve system: y = 4, x = 3 =&gt; x + y = 7.", "🔒 Trả lời đúng để mở khóa Strategic Tip!")</f>
        <v/>
      </c>
    </row>
    <row r="20">
      <c r="A20" s="7" t="inlineStr">
        <is>
          <t>Q16</t>
        </is>
      </c>
      <c r="B20" s="5" t="inlineStr">
        <is>
          <t>Statistics (Sampling Bias)</t>
        </is>
      </c>
      <c r="C20" s="5" t="inlineStr">
        <is>
          <t>A study on melatonin levels sampled 125 gamers from 3 countries (Sweden 25, South Korea 49, US 51).</t>
        </is>
      </c>
      <c r="D20" s="5" t="inlineStr">
        <is>
          <t>Calculator Allowed. Which aspect prevents the results from being generalized to ALL gamers globally?</t>
        </is>
      </c>
      <c r="E20" s="5" t="inlineStr">
        <is>
          <t>A. Lựa chọn A
B. Lựa chọn B
C. Lựa chọn C
D. Lựa chọn D</t>
        </is>
      </c>
      <c r="F20" s="14" t="n"/>
      <c r="G20" s="7">
        <f>IF(ISBLANK(F20), "⏳ Chờ đáp án", IF(UPPER(TRIM(F20))="A", "✅ Đúng", "❌ Sai"))</f>
        <v/>
      </c>
      <c r="H20" s="14" t="n"/>
      <c r="I20" s="7">
        <f>IF(ISBLANK(H20), "", IF(UPPER(TRIM(H20))="A", "✅ Đúng", "❌ Sai"))</f>
        <v/>
      </c>
      <c r="J20" s="14" t="n"/>
      <c r="K20" s="7">
        <f>IF(ISBLANK(J20), "", IF(UPPER(TRIM(J20))="A", "✅ Đúng", "❌ Sai"))</f>
        <v/>
      </c>
      <c r="L20" s="7">
        <f>COUNTIF(G20, "❌ Sai") + COUNTIF(I20, "❌ Sai") + COUNTIF(K20, "❌ Sai")</f>
        <v/>
      </c>
      <c r="M20" s="7">
        <f>IF(ISBLANK(F20), "⏳ Chờ làm", IF(G20="✅ Đúng", "✅ Đúng ngay L1", IF(I20="✅ Đúng", "✅ Đúng ở L2", IF(K20="✅ Đúng", "✅ Đúng ở L3", "❌ Chưa đúng sau 3 lần"))))</f>
        <v/>
      </c>
      <c r="N20" s="13">
        <f>IF(G20="✅ Đúng", 1, IF(I20="✅ Đúng", 0.667, IF(K20="✅ Đúng", 0.333, 0)))</f>
        <v/>
      </c>
      <c r="O20" s="5">
        <f>IF(ISBLANK(F20), "💡 Nhập đáp án vào Lần thử 1", IF(OR(G20="✅ Đúng", I20="✅ Đúng", K20="✅ Đúng"), "✨ Xuất sắc! Bạn đã làm đúng.", IF(NOT(ISBLANK(J20)), "💡 Gợi ý Tầng 3 (Chốt phương pháp): " &amp; "Mẫu bị giới hạn phạm vi sẽ gây ra sai số chọn mẫu (sampling bias) và không thể suy rộng.", IF(NOT(ISBLANK(H20)), "💡 Gợi ý Tầng 2 (Manh mối cấu trúc &amp; Loại trừ): " &amp; "Kiểm tra xem mẫu khảo sát có được chọn ngẫu nhiên từ toàn bộ quần thể hay không.", "💡 Gợi ý Tầng 1 (Định hướng bối cảnh): " &amp; "Phân tích tính đại diện của mẫu khảo sát thống kê."))))</f>
        <v/>
      </c>
      <c r="P20" s="5">
        <f>IF(OR(G20="✅ Đúng", I20="✅ Đúng", K20="✅ Đúng"), "Generalizability requires random sampling from the target population.", "🔒 Trả lời đúng để mở khóa Strategic Tip!")</f>
        <v/>
      </c>
    </row>
    <row r="21" ht="15.75" customHeight="1" s="19">
      <c r="A21" s="7" t="inlineStr">
        <is>
          <t>Q17</t>
        </is>
      </c>
      <c r="B21" s="5" t="inlineStr">
        <is>
          <t>Trigonometry (Right Triangle Ratios)</t>
        </is>
      </c>
      <c r="C21" s="5" t="inlineStr">
        <is>
          <t>In right triangle ABC with right angle C = 90 deg, cos A = 5/13.</t>
        </is>
      </c>
      <c r="D21" s="5" t="inlineStr">
        <is>
          <t>Calculator Allowed. What is the value of tan A?</t>
        </is>
      </c>
      <c r="E21" s="5" t="inlineStr">
        <is>
          <t>A. Lựa chọn A
B. Lựa chọn B
C. Lựa chọn C
D. Lựa chọn D</t>
        </is>
      </c>
      <c r="F21" s="14" t="n"/>
      <c r="G21" s="7">
        <f>IF(ISBLANK(F21), "⏳ Chờ đáp án", IF(UPPER(TRIM(F21))="A", "✅ Đúng", "❌ Sai"))</f>
        <v/>
      </c>
      <c r="H21" s="14" t="n"/>
      <c r="I21" s="7">
        <f>IF(ISBLANK(H21), "", IF(UPPER(TRIM(H21))="A", "✅ Đúng", "❌ Sai"))</f>
        <v/>
      </c>
      <c r="J21" s="14" t="n"/>
      <c r="K21" s="7">
        <f>IF(ISBLANK(J21), "", IF(UPPER(TRIM(J21))="A", "✅ Đúng", "❌ Sai"))</f>
        <v/>
      </c>
      <c r="L21" s="7">
        <f>COUNTIF(G21, "❌ Sai") + COUNTIF(I21, "❌ Sai") + COUNTIF(K21, "❌ Sai")</f>
        <v/>
      </c>
      <c r="M21" s="7">
        <f>IF(ISBLANK(F21), "⏳ Chờ làm", IF(G21="✅ Đúng", "✅ Đúng ngay L1", IF(I21="✅ Đúng", "✅ Đúng ở L2", IF(K21="✅ Đúng", "✅ Đúng ở L3", "❌ Chưa đúng sau 3 lần"))))</f>
        <v/>
      </c>
      <c r="N21" s="13">
        <f>IF(G21="✅ Đúng", 1, IF(I21="✅ Đúng", 0.667, IF(K21="✅ Đúng", 0.333, 0)))</f>
        <v/>
      </c>
      <c r="O21" s="5">
        <f>IF(ISBLANK(F21), "💡 Nhập đáp án vào Lần thử 1", IF(OR(G21="✅ Đúng", I21="✅ Đúng", K21="✅ Đúng"), "✨ Xuất sắc! Bạn đã làm đúng.", IF(NOT(ISBLANK(J21)), "💡 Gợi ý Tầng 3 (Chốt phương pháp): " &amp; "Tính tỉ số lượng giác (sin = Đối/Huyền, cos = Kề/Huyền, tan = Đối/Kề) tương ứng.", IF(NOT(ISBLANK(H21)), "💡 Gợi ý Tầng 2 (Manh mối cấu trúc &amp; Loại trừ): " &amp; "Sử dụng định lý Pitago a^2 + b^2 = c^2 để tìm độ dài cạnh còn thiếu.", "💡 Gợi ý Tầng 1 (Định hướng bối cảnh): " &amp; "Áp dụng tỉ số lượng giác trong tam giác vuông."))))</f>
        <v/>
      </c>
      <c r="P21" s="5">
        <f>IF(OR(G21="✅ Đúng", I21="✅ Đúng", K21="✅ Đúng"), "5-12-13 Right Triangle: cos A = 5/13 =&gt; sin A = 12/13 =&gt; tan A = 12/5.", "🔒 Trả lời đúng để mở khóa Strategic Tip!")</f>
        <v/>
      </c>
    </row>
    <row r="22" ht="15.75" customHeight="1" s="19">
      <c r="A22" s="7" t="inlineStr">
        <is>
          <t>Q18</t>
        </is>
      </c>
      <c r="B22" s="5" t="inlineStr">
        <is>
          <t>Percentages (Percent Increase)</t>
        </is>
      </c>
      <c r="C22" s="5" t="inlineStr">
        <is>
          <t>Guests used the pool for t hours in March and 3.41t hours in April.</t>
        </is>
      </c>
      <c r="D22" s="5" t="inlineStr">
        <is>
          <t>Calculator Allowed. What is the percent increase in pool usage from March to April?</t>
        </is>
      </c>
      <c r="E22" s="5" t="inlineStr">
        <is>
          <t>A. Lựa chọn A
B. Lựa chọn B
C. Lựa chọn C
D. Lựa chọn D</t>
        </is>
      </c>
      <c r="F22" s="14" t="n"/>
      <c r="G22" s="7">
        <f>IF(ISBLANK(F22), "⏳ Chờ đáp án", IF(UPPER(TRIM(F22))="C", "✅ Đúng", "❌ Sai"))</f>
        <v/>
      </c>
      <c r="H22" s="14" t="n"/>
      <c r="I22" s="7">
        <f>IF(ISBLANK(H22), "", IF(UPPER(TRIM(H22))="C", "✅ Đúng", "❌ Sai"))</f>
        <v/>
      </c>
      <c r="J22" s="14" t="n"/>
      <c r="K22" s="7">
        <f>IF(ISBLANK(J22), "", IF(UPPER(TRIM(J22))="C", "✅ Đúng", "❌ Sai"))</f>
        <v/>
      </c>
      <c r="L22" s="7">
        <f>COUNTIF(G22, "❌ Sai") + COUNTIF(I22, "❌ Sai") + COUNTIF(K22, "❌ Sai")</f>
        <v/>
      </c>
      <c r="M22" s="7">
        <f>IF(ISBLANK(F22), "⏳ Chờ làm", IF(G22="✅ Đúng", "✅ Đúng ngay L1", IF(I22="✅ Đúng", "✅ Đúng ở L2", IF(K22="✅ Đúng", "✅ Đúng ở L3", "❌ Chưa đúng sau 3 lần"))))</f>
        <v/>
      </c>
      <c r="N22" s="13">
        <f>IF(G22="✅ Đúng", 1, IF(I22="✅ Đúng", 0.667, IF(K22="✅ Đúng", 0.333, 0)))</f>
        <v/>
      </c>
      <c r="O22" s="5">
        <f>IF(ISBLANK(F22), "💡 Nhập đáp án vào Lần thử 1", IF(OR(G22="✅ Đúng", I22="✅ Đúng", K22="✅ Đúng"), "✨ Xuất sắc! Bạn đã làm đúng.", IF(NOT(ISBLANK(J22)), "💡 Gợi ý Tầng 3 (Chốt phương pháp): " &amp; "Thực hiện phép chia rồi nhân với 100%.", IF(NOT(ISBLANK(H22)), "💡 Gợi ý Tầng 2 (Manh mối cấu trúc &amp; Loại trừ): " &amp; "Áp dụng công thức Percent Increase = (Mới - Cũ) / Cũ x 100%.", "💡 Gợi ý Tầng 1 (Định hướng bối cảnh): " &amp; "Tính tỉ lệ phần trăm tăng giữa hai giá trị."))))</f>
        <v/>
      </c>
      <c r="P22" s="5">
        <f>IF(OR(G22="✅ Đúng", I22="✅ Đúng", K22="✅ Đúng"), "Percent Increase = (3.41 - 1) * 100% = 241%.", "🔒 Trả lời đúng để mở khóa Strategic Tip!")</f>
        <v/>
      </c>
    </row>
    <row r="23" ht="15.75" customHeight="1" s="19">
      <c r="A23" s="7" t="inlineStr">
        <is>
          <t>Q19</t>
        </is>
      </c>
      <c r="B23" s="5" t="inlineStr">
        <is>
          <t>Algebraic Expansion &amp; Coefficients</t>
        </is>
      </c>
      <c r="C23" s="5" t="inlineStr">
        <is>
          <t>The expression [4(3x - 4)^2 + 6(3x - 2)^2] / 4 can be rewritten as (a/4)x^2 + (b/4)x + (c/4).</t>
        </is>
      </c>
      <c r="D23" s="5" t="inlineStr">
        <is>
          <t>Calculator Allowed. What is the value of a + b + c?</t>
        </is>
      </c>
      <c r="E23" s="5" t="inlineStr">
        <is>
          <t>A. Lựa chọn A
B. Lựa chọn B
C. Lựa chọn C
D. Lựa chọn D</t>
        </is>
      </c>
      <c r="F23" s="14" t="n"/>
      <c r="G23" s="7">
        <f>IF(ISBLANK(F23), "⏳ Chờ đáp án", IF(UPPER(TRIM(F23))="A", "✅ Đúng", "❌ Sai"))</f>
        <v/>
      </c>
      <c r="H23" s="14" t="n"/>
      <c r="I23" s="7">
        <f>IF(ISBLANK(H23), "", IF(UPPER(TRIM(H23))="A", "✅ Đúng", "❌ Sai"))</f>
        <v/>
      </c>
      <c r="J23" s="14" t="n"/>
      <c r="K23" s="7">
        <f>IF(ISBLANK(J23), "", IF(UPPER(TRIM(J23))="A", "✅ Đúng", "❌ Sai"))</f>
        <v/>
      </c>
      <c r="L23" s="7">
        <f>COUNTIF(G23, "❌ Sai") + COUNTIF(I23, "❌ Sai") + COUNTIF(K23, "❌ Sai")</f>
        <v/>
      </c>
      <c r="M23" s="7">
        <f>IF(ISBLANK(F23), "⏳ Chờ làm", IF(G23="✅ Đúng", "✅ Đúng ngay L1", IF(I23="✅ Đúng", "✅ Đúng ở L2", IF(K23="✅ Đúng", "✅ Đúng ở L3", "❌ Chưa đúng sau 3 lần"))))</f>
        <v/>
      </c>
      <c r="N23" s="13">
        <f>IF(G23="✅ Đúng", 1, IF(I23="✅ Đúng", 0.667, IF(K23="✅ Đúng", 0.333, 0)))</f>
        <v/>
      </c>
      <c r="O23" s="5">
        <f>IF(ISBLANK(F23), "💡 Nhập đáp án vào Lần thử 1", IF(OR(G23="✅ Đúng", I23="✅ Đúng", K23="✅ Đúng"), "✨ Xuất sắc! Bạn đã làm đúng.", IF(NOT(ISBLANK(J23)), "💡 Gợi ý Tầng 3 (Chốt phương pháp): " &amp; "Đồng nhất các hệ số tương ứng ở hai vế để tính tổng các hệ số.", IF(NOT(ISBLANK(H23)), "💡 Gợi ý Tầng 2 (Manh mối cấu trúc &amp; Loại trừ): " &amp; "Nhân các đa thức và nhóm các số hạng đồng dạng.", "💡 Gợi ý Tầng 1 (Định hướng bối cảnh): " &amp; "Khai triển và thu gọn biểu thức đa thức."))))</f>
        <v/>
      </c>
      <c r="P23" s="5">
        <f>IF(OR(G23="✅ Đúng", I23="✅ Đúng", K23="✅ Đúng"), "Evaluate at x = 1 to find sum of coefficients a + b + c.", "🔒 Trả lời đúng để mở khóa Strategic Tip!")</f>
        <v/>
      </c>
    </row>
    <row r="24" ht="15.75" customHeight="1" s="19">
      <c r="A24" s="7" t="inlineStr">
        <is>
          <t>Q20</t>
        </is>
      </c>
      <c r="B24" s="5" t="inlineStr">
        <is>
          <t>Consecutive Integers Inequality</t>
        </is>
      </c>
      <c r="C24" s="5" t="inlineStr">
        <is>
          <t>The sum of three consecutive even integers is less than 123. The least integer is x.</t>
        </is>
      </c>
      <c r="D24" s="5" t="inlineStr">
        <is>
          <t>Calculator Allowed. What is the greatest possible value of x?</t>
        </is>
      </c>
      <c r="E24" s="5" t="inlineStr">
        <is>
          <t>A. Lựa chọn A
B. Lựa chọn B
C. Lựa chọn C
D. Lựa chọn D</t>
        </is>
      </c>
      <c r="F24" s="14" t="n"/>
      <c r="G24" s="7">
        <f>IF(ISBLANK(F24), "⏳ Chờ đáp án", IF(UPPER(TRIM(F24))="D", "✅ Đúng", "❌ Sai"))</f>
        <v/>
      </c>
      <c r="H24" s="14" t="n"/>
      <c r="I24" s="7">
        <f>IF(ISBLANK(H24), "", IF(UPPER(TRIM(H24))="D", "✅ Đúng", "❌ Sai"))</f>
        <v/>
      </c>
      <c r="J24" s="14" t="n"/>
      <c r="K24" s="7">
        <f>IF(ISBLANK(J24), "", IF(UPPER(TRIM(J24))="D", "✅ Đúng", "❌ Sai"))</f>
        <v/>
      </c>
      <c r="L24" s="7">
        <f>COUNTIF(G24, "❌ Sai") + COUNTIF(I24, "❌ Sai") + COUNTIF(K24, "❌ Sai")</f>
        <v/>
      </c>
      <c r="M24" s="7">
        <f>IF(ISBLANK(F24), "⏳ Chờ làm", IF(G24="✅ Đúng", "✅ Đúng ngay L1", IF(I24="✅ Đúng", "✅ Đúng ở L2", IF(K24="✅ Đúng", "✅ Đúng ở L3", "❌ Chưa đúng sau 3 lần"))))</f>
        <v/>
      </c>
      <c r="N24" s="13">
        <f>IF(G24="✅ Đúng", 1, IF(I24="✅ Đúng", 0.667, IF(K24="✅ Đúng", 0.333, 0)))</f>
        <v/>
      </c>
      <c r="O24" s="5">
        <f>IF(ISBLANK(F24), "💡 Nhập đáp án vào Lần thử 1", IF(OR(G24="✅ Đúng", I24="✅ Đúng", K24="✅ Đúng"), "✨ Xuất sắc! Bạn đã làm đúng.", IF(NOT(ISBLANK(J24)), "💡 Gợi ý Tầng 3 (Chốt phương pháp): " &amp; "Giải bất phương trình thu được để tìm giá trị số nguyên lớn nhất thỏa mãn.", IF(NOT(ISBLANK(H24)), "💡 Gợi ý Tầng 2 (Manh mối cấu trúc &amp; Loại trừ): " &amp; "Biểu diễn các số nguyên liên tiếp dưới dạng x, x + 2, x + 4 (nếu là số chẵn/lẻ).", "💡 Gợi ý Tầng 1 (Định hướng bối cảnh): " &amp; "Thiết lập bất phương trình cho tổng các số nguyên liên tiếp."))))</f>
        <v/>
      </c>
      <c r="P24" s="5">
        <f>IF(OR(G24="✅ Đúng", I24="✅ Đúng", K24="✅ Đúng"), "3x + 6 &lt; 123 =&gt; x &lt; 39. Greatest even integer is 38.", "🔒 Trả lời đúng để mở khóa Strategic Tip!")</f>
        <v/>
      </c>
    </row>
    <row r="25" ht="15.75" customHeight="1" s="19">
      <c r="A25" s="7" t="inlineStr">
        <is>
          <t>Q21</t>
        </is>
      </c>
      <c r="B25" s="5" t="inlineStr">
        <is>
          <t>Similar 3D Solids (Area &amp; Volume Ratios)</t>
        </is>
      </c>
      <c r="C25" s="5" t="inlineStr">
        <is>
          <t>Prism X is similar to Prism Y. Surface area X = 52 cm^2, Surface area Y = 832 cm^2. Volume X = 10.5 cm^3.</t>
        </is>
      </c>
      <c r="D25" s="5" t="inlineStr">
        <is>
          <t>Calculator Allowed. What is the volume, in cm^3, of right rectangular prism Y?</t>
        </is>
      </c>
      <c r="E25" s="5" t="inlineStr">
        <is>
          <t>Student-Produced Response (Grid-in)</t>
        </is>
      </c>
      <c r="F25" s="14" t="n"/>
      <c r="G25" s="7">
        <f>IF(ISBLANK(F25), "⏳ Chờ đáp án", IF(UPPER(TRIM(F25))="672", "✅ Đúng", "❌ Sai"))</f>
        <v/>
      </c>
      <c r="H25" s="14" t="n"/>
      <c r="I25" s="7">
        <f>IF(ISBLANK(H25), "", IF(UPPER(TRIM(H25))="672", "✅ Đúng", "❌ Sai"))</f>
        <v/>
      </c>
      <c r="J25" s="14" t="n"/>
      <c r="K25" s="7">
        <f>IF(ISBLANK(J25), "", IF(UPPER(TRIM(J25))="672", "✅ Đúng", "❌ Sai"))</f>
        <v/>
      </c>
      <c r="L25" s="7">
        <f>COUNTIF(G25, "❌ Sai") + COUNTIF(I25, "❌ Sai") + COUNTIF(K25, "❌ Sai")</f>
        <v/>
      </c>
      <c r="M25" s="7">
        <f>IF(ISBLANK(F25), "⏳ Chờ làm", IF(G25="✅ Đúng", "✅ Đúng ngay L1", IF(I25="✅ Đúng", "✅ Đúng ở L2", IF(K25="✅ Đúng", "✅ Đúng ở L3", "❌ Chưa đúng sau 3 lần"))))</f>
        <v/>
      </c>
      <c r="N25" s="13">
        <f>IF(G25="✅ Đúng", 1, IF(I25="✅ Đúng", 0.667, IF(K25="✅ Đúng", 0.333, 0)))</f>
        <v/>
      </c>
      <c r="O25" s="5">
        <f>IF(ISBLANK(F25), "💡 Nhập đáp án vào Lần thử 1", IF(OR(G25="✅ Đúng", I25="✅ Đúng", K25="✅ Đúng"), "✨ Xuất sắc! Bạn đã làm đúng.", IF(NOT(ISBLANK(J25)), "💡 Gợi ý Tầng 3 (Chốt phương pháp): " &amp; "Nhân thể tích hình ban đầu với tỉ lệ k^3 để tìm thể tích hình mới.", IF(NOT(ISBLANK(H25)), "💡 Gợi ý Tầng 2 (Manh mối cấu trúc &amp; Loại trừ): " &amp; "Nếu tỉ lệ diện tích là k^2, suy ra tỉ lệ chiều dài là k và tỉ lệ thể tích là k^3.", "💡 Gợi ý Tầng 1 (Định hướng bối cảnh): " &amp; "Áp dụng mối quan hệ giữa tỉ lệ kích thước, diện tích và thể tích của hai hình đồng dạng."))))</f>
        <v/>
      </c>
      <c r="P25" s="5">
        <f>IF(OR(G25="✅ Đúng", I25="✅ Đúng", K25="✅ Đúng"), "Area ratio k^2 = 16 =&gt; k = 4 =&gt; Volume ratio k^3 = 64 =&gt; Vol Y = 10.5 * 64 = 672.", "🔒 Trả lời đúng để mở khóa Strategic Tip!")</f>
        <v/>
      </c>
    </row>
    <row r="26" ht="15.75" customHeight="1" s="19">
      <c r="A26" s="7" t="inlineStr">
        <is>
          <t>Q22</t>
        </is>
      </c>
      <c r="B26" s="5" t="inlineStr">
        <is>
          <t>Quadratic Equation (Sum of Roots)</t>
        </is>
      </c>
      <c r="C26" s="5" t="inlineStr">
        <is>
          <t>Equation: 18(w - a)(w + 5) = 6(w + 5). The sum of solutions is 37/3.</t>
        </is>
      </c>
      <c r="D26" s="5" t="inlineStr">
        <is>
          <t>Calculator Allowed. What is the value of a?</t>
        </is>
      </c>
      <c r="E26" s="5" t="inlineStr">
        <is>
          <t>Student-Produced Response (Grid-in)</t>
        </is>
      </c>
      <c r="F26" s="14" t="n"/>
      <c r="G26" s="7">
        <f>IF(ISBLANK(F26), "⏳ Chờ đáp án", IF(UPPER(TRIM(F26))="17", "✅ Đúng", "❌ Sai"))</f>
        <v/>
      </c>
      <c r="H26" s="14" t="n"/>
      <c r="I26" s="7">
        <f>IF(ISBLANK(H26), "", IF(UPPER(TRIM(H26))="17", "✅ Đúng", "❌ Sai"))</f>
        <v/>
      </c>
      <c r="J26" s="14" t="n"/>
      <c r="K26" s="7">
        <f>IF(ISBLANK(J26), "", IF(UPPER(TRIM(J26))="17", "✅ Đúng", "❌ Sai"))</f>
        <v/>
      </c>
      <c r="L26" s="7">
        <f>COUNTIF(G26, "❌ Sai") + COUNTIF(I26, "❌ Sai") + COUNTIF(K26, "❌ Sai")</f>
        <v/>
      </c>
      <c r="M26" s="7">
        <f>IF(ISBLANK(F26), "⏳ Chờ làm", IF(G26="✅ Đúng", "✅ Đúng ngay L1", IF(I26="✅ Đúng", "✅ Đúng ở L2", IF(K26="✅ Đúng", "✅ Đúng ở L3", "❌ Chưa đúng sau 3 lần"))))</f>
        <v/>
      </c>
      <c r="N26" s="13">
        <f>IF(G26="✅ Đúng", 1, IF(I26="✅ Đúng", 0.667, IF(K26="✅ Đúng", 0.333, 0)))</f>
        <v/>
      </c>
      <c r="O26" s="5">
        <f>IF(ISBLANK(F26), "💡 Nhập đáp án vào Lần thử 1", IF(OR(G26="✅ Đúng", I26="✅ Đúng", K26="✅ Đúng"), "✨ Xuất sắc! Bạn đã làm đúng.", IF(NOT(ISBLANK(J26)), "💡 Gợi ý Tầng 3 (Chốt phương pháp): " &amp; "Sử dụng nghiệm đã biết để giải tìm ẩn số a.", IF(NOT(ISBLANK(H26)), "💡 Gợi ý Tầng 2 (Manh mối cấu trúc &amp; Loại trừ): " &amp; "Tổng hai nghiệm x1 + x2 = -b / a.", "💡 Gợi ý Tầng 1 (Định hướng bối cảnh): " &amp; "Áp dụng định lý Viète về tổng các nghiệm của phương trình bậc hai ax^2 + bx + c = 0."))))</f>
        <v/>
      </c>
      <c r="P26" s="5">
        <f>IF(OR(G26="✅ Đúng", I26="✅ Đúng", K26="✅ Đúng"), "Roots are w1 = -5 and w2 = a + 1/3 =&gt; -5 + a + 1/3 = 37/3 =&gt; a = 17.", "🔒 Trả lời đúng để mở khóa Strategic Tip!")</f>
        <v/>
      </c>
    </row>
    <row r="27" ht="15.75" customHeight="1" s="19"/>
    <row r="28" ht="15.75" customHeight="1" s="19"/>
    <row r="29" ht="15.75" customHeight="1" s="19"/>
    <row r="30" ht="15.75" customHeight="1" s="19"/>
    <row r="31" ht="15.75" customHeight="1" s="19"/>
    <row r="32" ht="15.75" customHeight="1" s="19"/>
    <row r="33" ht="15.75" customHeight="1" s="19"/>
    <row r="34" ht="15.75" customHeight="1" s="19"/>
    <row r="35" ht="15.75" customHeight="1" s="19"/>
    <row r="36" ht="15.75" customHeight="1" s="19"/>
    <row r="37" ht="15.75" customHeight="1" s="19"/>
    <row r="38" ht="15.75" customHeight="1" s="19"/>
    <row r="39" ht="15.75" customHeight="1" s="19"/>
    <row r="40" ht="15.75" customHeight="1" s="19"/>
    <row r="41" ht="15.75" customHeight="1" s="19"/>
    <row r="42" ht="15.75" customHeight="1" s="19"/>
    <row r="43" ht="15.75" customHeight="1" s="19"/>
    <row r="44" ht="15.75" customHeight="1" s="19"/>
    <row r="45" ht="15.75" customHeight="1" s="19"/>
    <row r="46" ht="15.75" customHeight="1" s="19"/>
    <row r="47" ht="15.75" customHeight="1" s="19"/>
    <row r="48" ht="15.75" customHeight="1" s="19"/>
    <row r="49" ht="15.75" customHeight="1" s="19"/>
    <row r="50" ht="15.75" customHeight="1" s="19"/>
    <row r="51" ht="15.75" customHeight="1" s="19"/>
    <row r="52" ht="15.75" customHeight="1" s="19"/>
    <row r="53" ht="15.75" customHeight="1" s="19"/>
    <row r="54" ht="15.75" customHeight="1" s="19"/>
    <row r="55" ht="15.75" customHeight="1" s="19"/>
    <row r="56" ht="15.75" customHeight="1" s="19"/>
    <row r="57" ht="15.75" customHeight="1" s="19"/>
    <row r="58" ht="15.75" customHeight="1" s="19"/>
    <row r="59" ht="15.75" customHeight="1" s="19"/>
    <row r="60" ht="15.75" customHeight="1" s="19"/>
    <row r="61" ht="15.75" customHeight="1" s="19"/>
    <row r="62" ht="15.75" customHeight="1" s="19"/>
    <row r="63" ht="15.75" customHeight="1" s="19"/>
    <row r="64" ht="15.75" customHeight="1" s="19"/>
    <row r="65" ht="15.75" customHeight="1" s="19"/>
    <row r="66" ht="15.75" customHeight="1" s="19"/>
    <row r="67" ht="15.75" customHeight="1" s="19"/>
    <row r="68" ht="15.75" customHeight="1" s="19"/>
    <row r="69" ht="15.75" customHeight="1" s="19"/>
    <row r="70" ht="15.75" customHeight="1" s="19"/>
    <row r="71" ht="15.75" customHeight="1" s="19"/>
    <row r="72" ht="15.75" customHeight="1" s="19"/>
    <row r="73" ht="15.75" customHeight="1" s="19"/>
    <row r="74" ht="15.75" customHeight="1" s="19"/>
    <row r="75" ht="15.75" customHeight="1" s="19"/>
    <row r="76" ht="15.75" customHeight="1" s="19"/>
    <row r="77" ht="15.75" customHeight="1" s="19"/>
    <row r="78" ht="15.75" customHeight="1" s="19"/>
    <row r="79" ht="15.75" customHeight="1" s="19"/>
    <row r="80" ht="15.75" customHeight="1" s="19"/>
    <row r="81" ht="15.75" customHeight="1" s="19"/>
    <row r="82" ht="15.75" customHeight="1" s="19"/>
    <row r="83" ht="15.75" customHeight="1" s="19"/>
    <row r="84" ht="15.75" customHeight="1" s="19"/>
    <row r="85" ht="15.75" customHeight="1" s="19"/>
    <row r="86" ht="15.75" customHeight="1" s="19"/>
    <row r="87" ht="15.75" customHeight="1" s="19"/>
    <row r="88" ht="15.75" customHeight="1" s="19"/>
    <row r="89" ht="15.75" customHeight="1" s="19"/>
    <row r="90" ht="15.75" customHeight="1" s="19"/>
    <row r="91" ht="15.75" customHeight="1" s="19"/>
    <row r="92" ht="15.75" customHeight="1" s="19"/>
    <row r="93" ht="15.75" customHeight="1" s="19"/>
    <row r="94" ht="15.75" customHeight="1" s="19"/>
    <row r="95" ht="15.75" customHeight="1" s="19"/>
    <row r="96" ht="15.75" customHeight="1" s="19"/>
    <row r="97" ht="15.75" customHeight="1" s="19"/>
    <row r="98" ht="15.75" customHeight="1" s="19"/>
    <row r="99" ht="15.75" customHeight="1" s="19"/>
    <row r="100" ht="15.75" customHeight="1" s="19"/>
    <row r="101" ht="15.75" customHeight="1" s="19"/>
    <row r="102" ht="15.75" customHeight="1" s="19"/>
    <row r="103" ht="15.75" customHeight="1" s="19"/>
    <row r="104" ht="15.75" customHeight="1" s="19"/>
    <row r="105" ht="15.75" customHeight="1" s="19"/>
    <row r="106" ht="15.75" customHeight="1" s="19"/>
    <row r="107" ht="15.75" customHeight="1" s="19"/>
    <row r="108" ht="15.75" customHeight="1" s="19"/>
    <row r="109" ht="15.75" customHeight="1" s="19"/>
    <row r="110" ht="15.75" customHeight="1" s="19"/>
    <row r="111" ht="15.75" customHeight="1" s="19"/>
    <row r="112" ht="15.75" customHeight="1" s="19"/>
    <row r="113" ht="15.75" customHeight="1" s="19"/>
    <row r="114" ht="15.75" customHeight="1" s="19"/>
    <row r="115" ht="15.75" customHeight="1" s="19"/>
    <row r="116" ht="15.75" customHeight="1" s="19"/>
    <row r="117" ht="15.75" customHeight="1" s="19"/>
    <row r="118" ht="15.75" customHeight="1" s="19"/>
    <row r="119" ht="15.75" customHeight="1" s="19"/>
    <row r="120" ht="15.75" customHeight="1" s="19"/>
    <row r="121" ht="15.75" customHeight="1" s="19"/>
    <row r="122" ht="15.75" customHeight="1" s="19"/>
    <row r="123" ht="15.75" customHeight="1" s="19"/>
    <row r="124" ht="15.75" customHeight="1" s="19"/>
    <row r="125" ht="15.75" customHeight="1" s="19"/>
    <row r="126" ht="15.75" customHeight="1" s="19"/>
    <row r="127" ht="15.75" customHeight="1" s="19"/>
    <row r="128" ht="15.75" customHeight="1" s="19"/>
    <row r="129" ht="15.75" customHeight="1" s="19"/>
    <row r="130" ht="15.75" customHeight="1" s="19"/>
    <row r="131" ht="15.75" customHeight="1" s="19"/>
    <row r="132" ht="15.75" customHeight="1" s="19"/>
    <row r="133" ht="15.75" customHeight="1" s="19"/>
    <row r="134" ht="15.75" customHeight="1" s="19"/>
    <row r="135" ht="15.75" customHeight="1" s="19"/>
    <row r="136" ht="15.75" customHeight="1" s="19"/>
    <row r="137" ht="15.75" customHeight="1" s="19"/>
    <row r="138" ht="15.75" customHeight="1" s="19"/>
    <row r="139" ht="15.75" customHeight="1" s="19"/>
    <row r="140" ht="15.75" customHeight="1" s="19"/>
    <row r="141" ht="15.75" customHeight="1" s="19"/>
    <row r="142" ht="15.75" customHeight="1" s="19"/>
    <row r="143" ht="15.75" customHeight="1" s="19"/>
    <row r="144" ht="15.75" customHeight="1" s="19"/>
    <row r="145" ht="15.75" customHeight="1" s="19"/>
    <row r="146" ht="15.75" customHeight="1" s="19"/>
    <row r="147" ht="15.75" customHeight="1" s="19"/>
    <row r="148" ht="15.75" customHeight="1" s="19"/>
    <row r="149" ht="15.75" customHeight="1" s="19"/>
    <row r="150" ht="15.75" customHeight="1" s="19"/>
    <row r="151" ht="15.75" customHeight="1" s="19"/>
    <row r="152" ht="15.75" customHeight="1" s="19"/>
    <row r="153" ht="15.75" customHeight="1" s="19"/>
    <row r="154" ht="15.75" customHeight="1" s="19"/>
    <row r="155" ht="15.75" customHeight="1" s="19"/>
    <row r="156" ht="15.75" customHeight="1" s="19"/>
    <row r="157" ht="15.75" customHeight="1" s="19"/>
    <row r="158" ht="15.75" customHeight="1" s="19"/>
    <row r="159" ht="15.75" customHeight="1" s="19"/>
    <row r="160" ht="15.75" customHeight="1" s="19"/>
    <row r="161" ht="15.75" customHeight="1" s="19"/>
    <row r="162" ht="15.75" customHeight="1" s="19"/>
    <row r="163" ht="15.75" customHeight="1" s="19"/>
    <row r="164" ht="15.75" customHeight="1" s="19"/>
    <row r="165" ht="15.75" customHeight="1" s="19"/>
    <row r="166" ht="15.75" customHeight="1" s="19"/>
    <row r="167" ht="15.75" customHeight="1" s="19"/>
    <row r="168" ht="15.75" customHeight="1" s="19"/>
    <row r="169" ht="15.75" customHeight="1" s="19"/>
    <row r="170" ht="15.75" customHeight="1" s="19"/>
    <row r="171" ht="15.75" customHeight="1" s="19"/>
    <row r="172" ht="15.75" customHeight="1" s="19"/>
    <row r="173" ht="15.75" customHeight="1" s="19"/>
    <row r="174" ht="15.75" customHeight="1" s="19"/>
    <row r="175" ht="15.75" customHeight="1" s="19"/>
    <row r="176" ht="15.75" customHeight="1" s="19"/>
    <row r="177" ht="15.75" customHeight="1" s="19"/>
    <row r="178" ht="15.75" customHeight="1" s="19"/>
    <row r="179" ht="15.75" customHeight="1" s="19"/>
    <row r="180" ht="15.75" customHeight="1" s="19"/>
    <row r="181" ht="15.75" customHeight="1" s="19"/>
    <row r="182" ht="15.75" customHeight="1" s="19"/>
    <row r="183" ht="15.75" customHeight="1" s="19"/>
    <row r="184" ht="15.75" customHeight="1" s="19"/>
    <row r="185" ht="15.75" customHeight="1" s="19"/>
    <row r="186" ht="15.75" customHeight="1" s="19"/>
    <row r="187" ht="15.75" customHeight="1" s="19"/>
    <row r="188" ht="15.75" customHeight="1" s="19"/>
    <row r="189" ht="15.75" customHeight="1" s="19"/>
    <row r="190" ht="15.75" customHeight="1" s="19"/>
    <row r="191" ht="15.75" customHeight="1" s="19"/>
    <row r="192" ht="15.75" customHeight="1" s="19"/>
    <row r="193" ht="15.75" customHeight="1" s="19"/>
    <row r="194" ht="15.75" customHeight="1" s="19"/>
    <row r="195" ht="15.75" customHeight="1" s="19"/>
    <row r="196" ht="15.75" customHeight="1" s="19"/>
    <row r="197" ht="15.75" customHeight="1" s="19"/>
    <row r="198" ht="15.75" customHeight="1" s="19"/>
    <row r="199" ht="15.75" customHeight="1" s="19"/>
    <row r="200" ht="15.75" customHeight="1" s="19"/>
    <row r="201" ht="15.75" customHeight="1" s="19"/>
    <row r="202" ht="15.75" customHeight="1" s="19"/>
    <row r="203" ht="15.75" customHeight="1" s="19"/>
    <row r="204" ht="15.75" customHeight="1" s="19"/>
    <row r="205" ht="15.75" customHeight="1" s="19"/>
    <row r="206" ht="15.75" customHeight="1" s="19"/>
    <row r="207" ht="15.75" customHeight="1" s="19"/>
    <row r="208" ht="15.75" customHeight="1" s="19"/>
    <row r="209" ht="15.75" customHeight="1" s="19"/>
    <row r="210" ht="15.75" customHeight="1" s="19"/>
    <row r="211" ht="15.75" customHeight="1" s="19"/>
    <row r="212" ht="15.75" customHeight="1" s="19"/>
    <row r="213" ht="15.75" customHeight="1" s="19"/>
    <row r="214" ht="15.75" customHeight="1" s="19"/>
    <row r="215" ht="15.75" customHeight="1" s="19"/>
    <row r="216" ht="15.75" customHeight="1" s="19"/>
    <row r="217" ht="15.75" customHeight="1" s="19"/>
    <row r="218" ht="15.75" customHeight="1" s="19"/>
    <row r="219" ht="15.75" customHeight="1" s="19"/>
    <row r="220" ht="15.75" customHeight="1" s="19"/>
    <row r="221" ht="15.75" customHeight="1" s="19"/>
    <row r="222" ht="15.75" customHeight="1" s="19"/>
    <row r="223" ht="15.75" customHeight="1" s="19"/>
    <row r="224" ht="15.75" customHeight="1" s="19"/>
    <row r="225" ht="15.75" customHeight="1" s="19"/>
    <row r="226" ht="15.75" customHeight="1" s="19"/>
    <row r="227" ht="15.75" customHeight="1" s="19"/>
    <row r="228" ht="15.75" customHeight="1" s="19"/>
    <row r="229" ht="15.75" customHeight="1" s="19"/>
    <row r="230" ht="15.75" customHeight="1" s="19"/>
    <row r="231" ht="15.75" customHeight="1" s="19"/>
    <row r="232" ht="15.75" customHeight="1" s="19"/>
    <row r="233" ht="15.75" customHeight="1" s="19"/>
    <row r="234" ht="15.75" customHeight="1" s="19"/>
    <row r="235" ht="15.75" customHeight="1" s="19"/>
    <row r="236" ht="15.75" customHeight="1" s="19"/>
    <row r="237" ht="15.75" customHeight="1" s="19"/>
    <row r="238" ht="15.75" customHeight="1" s="19"/>
    <row r="239" ht="15.75" customHeight="1" s="19"/>
    <row r="240" ht="15.75" customHeight="1" s="19"/>
    <row r="241" ht="15.75" customHeight="1" s="19"/>
    <row r="242" ht="15.75" customHeight="1" s="19"/>
    <row r="243" ht="15.75" customHeight="1" s="19"/>
    <row r="244" ht="15.75" customHeight="1" s="19"/>
    <row r="245" ht="15.75" customHeight="1" s="19"/>
    <row r="246" ht="15.75" customHeight="1" s="19"/>
    <row r="247" ht="15.75" customHeight="1" s="19"/>
    <row r="248" ht="15.75" customHeight="1" s="19"/>
    <row r="249" ht="15.75" customHeight="1" s="19"/>
    <row r="250" ht="15.75" customHeight="1" s="19"/>
    <row r="251" ht="15.75" customHeight="1" s="19"/>
    <row r="252" ht="15.75" customHeight="1" s="19"/>
    <row r="253" ht="15.75" customHeight="1" s="19"/>
    <row r="254" ht="15.75" customHeight="1" s="19"/>
    <row r="255" ht="15.75" customHeight="1" s="19"/>
    <row r="256" ht="15.75" customHeight="1" s="19"/>
    <row r="257" ht="15.75" customHeight="1" s="19"/>
    <row r="258" ht="15.75" customHeight="1" s="19"/>
    <row r="259" ht="15.75" customHeight="1" s="19"/>
    <row r="260" ht="15.75" customHeight="1" s="19"/>
    <row r="261" ht="15.75" customHeight="1" s="19"/>
    <row r="262" ht="15.75" customHeight="1" s="19"/>
    <row r="263" ht="15.75" customHeight="1" s="19"/>
    <row r="264" ht="15.75" customHeight="1" s="19"/>
    <row r="265" ht="15.75" customHeight="1" s="19"/>
    <row r="266" ht="15.75" customHeight="1" s="19"/>
    <row r="267" ht="15.75" customHeight="1" s="19"/>
    <row r="268" ht="15.75" customHeight="1" s="19"/>
    <row r="269" ht="15.75" customHeight="1" s="19"/>
    <row r="270" ht="15.75" customHeight="1" s="19"/>
    <row r="271" ht="15.75" customHeight="1" s="19"/>
    <row r="272" ht="15.75" customHeight="1" s="19"/>
    <row r="273" ht="15.75" customHeight="1" s="19"/>
    <row r="274" ht="15.75" customHeight="1" s="19"/>
    <row r="275" ht="15.75" customHeight="1" s="19"/>
    <row r="276" ht="15.75" customHeight="1" s="19"/>
    <row r="277" ht="15.75" customHeight="1" s="19"/>
    <row r="278" ht="15.75" customHeight="1" s="19"/>
    <row r="279" ht="15.75" customHeight="1" s="19"/>
    <row r="280" ht="15.75" customHeight="1" s="19"/>
    <row r="281" ht="15.75" customHeight="1" s="19"/>
    <row r="282" ht="15.75" customHeight="1" s="19"/>
    <row r="283" ht="15.75" customHeight="1" s="19"/>
    <row r="284" ht="15.75" customHeight="1" s="19"/>
    <row r="285" ht="15.75" customHeight="1" s="19"/>
    <row r="286" ht="15.75" customHeight="1" s="19"/>
    <row r="287" ht="15.75" customHeight="1" s="19"/>
    <row r="288" ht="15.75" customHeight="1" s="19"/>
    <row r="289" ht="15.75" customHeight="1" s="19"/>
    <row r="290" ht="15.75" customHeight="1" s="19"/>
    <row r="291" ht="15.75" customHeight="1" s="19"/>
    <row r="292" ht="15.75" customHeight="1" s="19"/>
    <row r="293" ht="15.75" customHeight="1" s="19"/>
    <row r="294" ht="15.75" customHeight="1" s="19"/>
    <row r="295" ht="15.75" customHeight="1" s="19"/>
    <row r="296" ht="15.75" customHeight="1" s="19"/>
    <row r="297" ht="15.75" customHeight="1" s="19"/>
    <row r="298" ht="15.75" customHeight="1" s="19"/>
    <row r="299" ht="15.75" customHeight="1" s="19"/>
    <row r="300" ht="15.75" customHeight="1" s="19"/>
    <row r="301" ht="15.75" customHeight="1" s="19"/>
    <row r="302" ht="15.75" customHeight="1" s="19"/>
    <row r="303" ht="15.75" customHeight="1" s="19"/>
    <row r="304" ht="15.75" customHeight="1" s="19"/>
    <row r="305" ht="15.75" customHeight="1" s="19"/>
    <row r="306" ht="15.75" customHeight="1" s="19"/>
    <row r="307" ht="15.75" customHeight="1" s="19"/>
    <row r="308" ht="15.75" customHeight="1" s="19"/>
    <row r="309" ht="15.75" customHeight="1" s="19"/>
    <row r="310" ht="15.75" customHeight="1" s="19"/>
    <row r="311" ht="15.75" customHeight="1" s="19"/>
    <row r="312" ht="15.75" customHeight="1" s="19"/>
    <row r="313" ht="15.75" customHeight="1" s="19"/>
    <row r="314" ht="15.75" customHeight="1" s="19"/>
    <row r="315" ht="15.75" customHeight="1" s="19"/>
    <row r="316" ht="15.75" customHeight="1" s="19"/>
    <row r="317" ht="15.75" customHeight="1" s="19"/>
    <row r="318" ht="15.75" customHeight="1" s="19"/>
    <row r="319" ht="15.75" customHeight="1" s="19"/>
    <row r="320" ht="15.75" customHeight="1" s="19"/>
    <row r="321" ht="15.75" customHeight="1" s="19"/>
    <row r="322" ht="15.75" customHeight="1" s="19"/>
    <row r="323" ht="15.75" customHeight="1" s="19"/>
    <row r="324" ht="15.75" customHeight="1" s="19"/>
    <row r="325" ht="15.75" customHeight="1" s="19"/>
    <row r="326" ht="15.75" customHeight="1" s="19"/>
    <row r="327" ht="15.75" customHeight="1" s="19"/>
    <row r="328" ht="15.75" customHeight="1" s="19"/>
    <row r="329" ht="15.75" customHeight="1" s="19"/>
    <row r="330" ht="15.75" customHeight="1" s="19"/>
    <row r="331" ht="15.75" customHeight="1" s="19"/>
    <row r="332" ht="15.75" customHeight="1" s="19"/>
    <row r="333" ht="15.75" customHeight="1" s="19"/>
    <row r="334" ht="15.75" customHeight="1" s="19"/>
    <row r="335" ht="15.75" customHeight="1" s="19"/>
    <row r="336" ht="15.75" customHeight="1" s="19"/>
    <row r="337" ht="15.75" customHeight="1" s="19"/>
    <row r="338" ht="15.75" customHeight="1" s="19"/>
    <row r="339" ht="15.75" customHeight="1" s="19"/>
    <row r="340" ht="15.75" customHeight="1" s="19"/>
    <row r="341" ht="15.75" customHeight="1" s="19"/>
    <row r="342" ht="15.75" customHeight="1" s="19"/>
    <row r="343" ht="15.75" customHeight="1" s="19"/>
    <row r="344" ht="15.75" customHeight="1" s="19"/>
    <row r="345" ht="15.75" customHeight="1" s="19"/>
    <row r="346" ht="15.75" customHeight="1" s="19"/>
    <row r="347" ht="15.75" customHeight="1" s="19"/>
    <row r="348" ht="15.75" customHeight="1" s="19"/>
    <row r="349" ht="15.75" customHeight="1" s="19"/>
    <row r="350" ht="15.75" customHeight="1" s="19"/>
    <row r="351" ht="15.75" customHeight="1" s="19"/>
    <row r="352" ht="15.75" customHeight="1" s="19"/>
    <row r="353" ht="15.75" customHeight="1" s="19"/>
    <row r="354" ht="15.75" customHeight="1" s="19"/>
    <row r="355" ht="15.75" customHeight="1" s="19"/>
    <row r="356" ht="15.75" customHeight="1" s="19"/>
    <row r="357" ht="15.75" customHeight="1" s="19"/>
    <row r="358" ht="15.75" customHeight="1" s="19"/>
    <row r="359" ht="15.75" customHeight="1" s="19"/>
    <row r="360" ht="15.75" customHeight="1" s="19"/>
    <row r="361" ht="15.75" customHeight="1" s="19"/>
    <row r="362" ht="15.75" customHeight="1" s="19"/>
    <row r="363" ht="15.75" customHeight="1" s="19"/>
    <row r="364" ht="15.75" customHeight="1" s="19"/>
    <row r="365" ht="15.75" customHeight="1" s="19"/>
    <row r="366" ht="15.75" customHeight="1" s="19"/>
    <row r="367" ht="15.75" customHeight="1" s="19"/>
    <row r="368" ht="15.75" customHeight="1" s="19"/>
    <row r="369" ht="15.75" customHeight="1" s="19"/>
    <row r="370" ht="15.75" customHeight="1" s="19"/>
    <row r="371" ht="15.75" customHeight="1" s="19"/>
    <row r="372" ht="15.75" customHeight="1" s="19"/>
    <row r="373" ht="15.75" customHeight="1" s="19"/>
    <row r="374" ht="15.75" customHeight="1" s="19"/>
    <row r="375" ht="15.75" customHeight="1" s="19"/>
    <row r="376" ht="15.75" customHeight="1" s="19"/>
    <row r="377" ht="15.75" customHeight="1" s="19"/>
    <row r="378" ht="15.75" customHeight="1" s="19"/>
    <row r="379" ht="15.75" customHeight="1" s="19"/>
    <row r="380" ht="15.75" customHeight="1" s="19"/>
    <row r="381" ht="15.75" customHeight="1" s="19"/>
    <row r="382" ht="15.75" customHeight="1" s="19"/>
    <row r="383" ht="15.75" customHeight="1" s="19"/>
    <row r="384" ht="15.75" customHeight="1" s="19"/>
    <row r="385" ht="15.75" customHeight="1" s="19"/>
    <row r="386" ht="15.75" customHeight="1" s="19"/>
    <row r="387" ht="15.75" customHeight="1" s="19"/>
    <row r="388" ht="15.75" customHeight="1" s="19"/>
    <row r="389" ht="15.75" customHeight="1" s="19"/>
    <row r="390" ht="15.75" customHeight="1" s="19"/>
    <row r="391" ht="15.75" customHeight="1" s="19"/>
    <row r="392" ht="15.75" customHeight="1" s="19"/>
    <row r="393" ht="15.75" customHeight="1" s="19"/>
    <row r="394" ht="15.75" customHeight="1" s="19"/>
    <row r="395" ht="15.75" customHeight="1" s="19"/>
    <row r="396" ht="15.75" customHeight="1" s="19"/>
    <row r="397" ht="15.75" customHeight="1" s="19"/>
    <row r="398" ht="15.75" customHeight="1" s="19"/>
    <row r="399" ht="15.75" customHeight="1" s="19"/>
    <row r="400" ht="15.75" customHeight="1" s="19"/>
    <row r="401" ht="15.75" customHeight="1" s="19"/>
    <row r="402" ht="15.75" customHeight="1" s="19"/>
    <row r="403" ht="15.75" customHeight="1" s="19"/>
    <row r="404" ht="15.75" customHeight="1" s="19"/>
    <row r="405" ht="15.75" customHeight="1" s="19"/>
    <row r="406" ht="15.75" customHeight="1" s="19"/>
    <row r="407" ht="15.75" customHeight="1" s="19"/>
    <row r="408" ht="15.75" customHeight="1" s="19"/>
    <row r="409" ht="15.75" customHeight="1" s="19"/>
    <row r="410" ht="15.75" customHeight="1" s="19"/>
    <row r="411" ht="15.75" customHeight="1" s="19"/>
    <row r="412" ht="15.75" customHeight="1" s="19"/>
    <row r="413" ht="15.75" customHeight="1" s="19"/>
    <row r="414" ht="15.75" customHeight="1" s="19"/>
    <row r="415" ht="15.75" customHeight="1" s="19"/>
    <row r="416" ht="15.75" customHeight="1" s="19"/>
    <row r="417" ht="15.75" customHeight="1" s="19"/>
    <row r="418" ht="15.75" customHeight="1" s="19"/>
    <row r="419" ht="15.75" customHeight="1" s="19"/>
    <row r="420" ht="15.75" customHeight="1" s="19"/>
    <row r="421" ht="15.75" customHeight="1" s="19"/>
    <row r="422" ht="15.75" customHeight="1" s="19"/>
    <row r="423" ht="15.75" customHeight="1" s="19"/>
    <row r="424" ht="15.75" customHeight="1" s="19"/>
    <row r="425" ht="15.75" customHeight="1" s="19"/>
    <row r="426" ht="15.75" customHeight="1" s="19"/>
    <row r="427" ht="15.75" customHeight="1" s="19"/>
    <row r="428" ht="15.75" customHeight="1" s="19"/>
    <row r="429" ht="15.75" customHeight="1" s="19"/>
    <row r="430" ht="15.75" customHeight="1" s="19"/>
    <row r="431" ht="15.75" customHeight="1" s="19"/>
    <row r="432" ht="15.75" customHeight="1" s="19"/>
    <row r="433" ht="15.75" customHeight="1" s="19"/>
    <row r="434" ht="15.75" customHeight="1" s="19"/>
    <row r="435" ht="15.75" customHeight="1" s="19"/>
    <row r="436" ht="15.75" customHeight="1" s="19"/>
    <row r="437" ht="15.75" customHeight="1" s="19"/>
    <row r="438" ht="15.75" customHeight="1" s="19"/>
    <row r="439" ht="15.75" customHeight="1" s="19"/>
    <row r="440" ht="15.75" customHeight="1" s="19"/>
    <row r="441" ht="15.75" customHeight="1" s="19"/>
    <row r="442" ht="15.75" customHeight="1" s="19"/>
    <row r="443" ht="15.75" customHeight="1" s="19"/>
    <row r="444" ht="15.75" customHeight="1" s="19"/>
    <row r="445" ht="15.75" customHeight="1" s="19"/>
    <row r="446" ht="15.75" customHeight="1" s="19"/>
    <row r="447" ht="15.75" customHeight="1" s="19"/>
    <row r="448" ht="15.75" customHeight="1" s="19"/>
    <row r="449" ht="15.75" customHeight="1" s="19"/>
    <row r="450" ht="15.75" customHeight="1" s="19"/>
    <row r="451" ht="15.75" customHeight="1" s="19"/>
    <row r="452" ht="15.75" customHeight="1" s="19"/>
    <row r="453" ht="15.75" customHeight="1" s="19"/>
    <row r="454" ht="15.75" customHeight="1" s="19"/>
    <row r="455" ht="15.75" customHeight="1" s="19"/>
    <row r="456" ht="15.75" customHeight="1" s="19"/>
    <row r="457" ht="15.75" customHeight="1" s="19"/>
    <row r="458" ht="15.75" customHeight="1" s="19"/>
    <row r="459" ht="15.75" customHeight="1" s="19"/>
    <row r="460" ht="15.75" customHeight="1" s="19"/>
    <row r="461" ht="15.75" customHeight="1" s="19"/>
    <row r="462" ht="15.75" customHeight="1" s="19"/>
    <row r="463" ht="15.75" customHeight="1" s="19"/>
    <row r="464" ht="15.75" customHeight="1" s="19"/>
    <row r="465" ht="15.75" customHeight="1" s="19"/>
    <row r="466" ht="15.75" customHeight="1" s="19"/>
    <row r="467" ht="15.75" customHeight="1" s="19"/>
    <row r="468" ht="15.75" customHeight="1" s="19"/>
    <row r="469" ht="15.75" customHeight="1" s="19"/>
    <row r="470" ht="15.75" customHeight="1" s="19"/>
    <row r="471" ht="15.75" customHeight="1" s="19"/>
    <row r="472" ht="15.75" customHeight="1" s="19"/>
    <row r="473" ht="15.75" customHeight="1" s="19"/>
    <row r="474" ht="15.75" customHeight="1" s="19"/>
    <row r="475" ht="15.75" customHeight="1" s="19"/>
    <row r="476" ht="15.75" customHeight="1" s="19"/>
    <row r="477" ht="15.75" customHeight="1" s="19"/>
    <row r="478" ht="15.75" customHeight="1" s="19"/>
    <row r="479" ht="15.75" customHeight="1" s="19"/>
    <row r="480" ht="15.75" customHeight="1" s="19"/>
    <row r="481" ht="15.75" customHeight="1" s="19"/>
    <row r="482" ht="15.75" customHeight="1" s="19"/>
    <row r="483" ht="15.75" customHeight="1" s="19"/>
    <row r="484" ht="15.75" customHeight="1" s="19"/>
    <row r="485" ht="15.75" customHeight="1" s="19"/>
    <row r="486" ht="15.75" customHeight="1" s="19"/>
    <row r="487" ht="15.75" customHeight="1" s="19"/>
    <row r="488" ht="15.75" customHeight="1" s="19"/>
    <row r="489" ht="15.75" customHeight="1" s="19"/>
    <row r="490" ht="15.75" customHeight="1" s="19"/>
    <row r="491" ht="15.75" customHeight="1" s="19"/>
    <row r="492" ht="15.75" customHeight="1" s="19"/>
    <row r="493" ht="15.75" customHeight="1" s="19"/>
    <row r="494" ht="15.75" customHeight="1" s="19"/>
    <row r="495" ht="15.75" customHeight="1" s="19"/>
    <row r="496" ht="15.75" customHeight="1" s="19"/>
    <row r="497" ht="15.75" customHeight="1" s="19"/>
    <row r="498" ht="15.75" customHeight="1" s="19"/>
    <row r="499" ht="15.75" customHeight="1" s="19"/>
    <row r="500" ht="15.75" customHeight="1" s="19"/>
    <row r="501" ht="15.75" customHeight="1" s="19"/>
    <row r="502" ht="15.75" customHeight="1" s="19"/>
    <row r="503" ht="15.75" customHeight="1" s="19"/>
    <row r="504" ht="15.75" customHeight="1" s="19"/>
    <row r="505" ht="15.75" customHeight="1" s="19"/>
    <row r="506" ht="15.75" customHeight="1" s="19"/>
    <row r="507" ht="15.75" customHeight="1" s="19"/>
    <row r="508" ht="15.75" customHeight="1" s="19"/>
    <row r="509" ht="15.75" customHeight="1" s="19"/>
    <row r="510" ht="15.75" customHeight="1" s="19"/>
    <row r="511" ht="15.75" customHeight="1" s="19"/>
    <row r="512" ht="15.75" customHeight="1" s="19"/>
    <row r="513" ht="15.75" customHeight="1" s="19"/>
    <row r="514" ht="15.75" customHeight="1" s="19"/>
    <row r="515" ht="15.75" customHeight="1" s="19"/>
    <row r="516" ht="15.75" customHeight="1" s="19"/>
    <row r="517" ht="15.75" customHeight="1" s="19"/>
    <row r="518" ht="15.75" customHeight="1" s="19"/>
    <row r="519" ht="15.75" customHeight="1" s="19"/>
    <row r="520" ht="15.75" customHeight="1" s="19"/>
    <row r="521" ht="15.75" customHeight="1" s="19"/>
    <row r="522" ht="15.75" customHeight="1" s="19"/>
    <row r="523" ht="15.75" customHeight="1" s="19"/>
    <row r="524" ht="15.75" customHeight="1" s="19"/>
    <row r="525" ht="15.75" customHeight="1" s="19"/>
    <row r="526" ht="15.75" customHeight="1" s="19"/>
    <row r="527" ht="15.75" customHeight="1" s="19"/>
    <row r="528" ht="15.75" customHeight="1" s="19"/>
    <row r="529" ht="15.75" customHeight="1" s="19"/>
    <row r="530" ht="15.75" customHeight="1" s="19"/>
    <row r="531" ht="15.75" customHeight="1" s="19"/>
    <row r="532" ht="15.75" customHeight="1" s="19"/>
    <row r="533" ht="15.75" customHeight="1" s="19"/>
    <row r="534" ht="15.75" customHeight="1" s="19"/>
    <row r="535" ht="15.75" customHeight="1" s="19"/>
    <row r="536" ht="15.75" customHeight="1" s="19"/>
    <row r="537" ht="15.75" customHeight="1" s="19"/>
    <row r="538" ht="15.75" customHeight="1" s="19"/>
    <row r="539" ht="15.75" customHeight="1" s="19"/>
    <row r="540" ht="15.75" customHeight="1" s="19"/>
    <row r="541" ht="15.75" customHeight="1" s="19"/>
    <row r="542" ht="15.75" customHeight="1" s="19"/>
    <row r="543" ht="15.75" customHeight="1" s="19"/>
    <row r="544" ht="15.75" customHeight="1" s="19"/>
    <row r="545" ht="15.75" customHeight="1" s="19"/>
    <row r="546" ht="15.75" customHeight="1" s="19"/>
    <row r="547" ht="15.75" customHeight="1" s="19"/>
    <row r="548" ht="15.75" customHeight="1" s="19"/>
    <row r="549" ht="15.75" customHeight="1" s="19"/>
    <row r="550" ht="15.75" customHeight="1" s="19"/>
    <row r="551" ht="15.75" customHeight="1" s="19"/>
    <row r="552" ht="15.75" customHeight="1" s="19"/>
    <row r="553" ht="15.75" customHeight="1" s="19"/>
    <row r="554" ht="15.75" customHeight="1" s="19"/>
    <row r="555" ht="15.75" customHeight="1" s="19"/>
    <row r="556" ht="15.75" customHeight="1" s="19"/>
    <row r="557" ht="15.75" customHeight="1" s="19"/>
    <row r="558" ht="15.75" customHeight="1" s="19"/>
    <row r="559" ht="15.75" customHeight="1" s="19"/>
    <row r="560" ht="15.75" customHeight="1" s="19"/>
    <row r="561" ht="15.75" customHeight="1" s="19"/>
    <row r="562" ht="15.75" customHeight="1" s="19"/>
    <row r="563" ht="15.75" customHeight="1" s="19"/>
    <row r="564" ht="15.75" customHeight="1" s="19"/>
    <row r="565" ht="15.75" customHeight="1" s="19"/>
    <row r="566" ht="15.75" customHeight="1" s="19"/>
    <row r="567" ht="15.75" customHeight="1" s="19"/>
    <row r="568" ht="15.75" customHeight="1" s="19"/>
    <row r="569" ht="15.75" customHeight="1" s="19"/>
    <row r="570" ht="15.75" customHeight="1" s="19"/>
    <row r="571" ht="15.75" customHeight="1" s="19"/>
    <row r="572" ht="15.75" customHeight="1" s="19"/>
    <row r="573" ht="15.75" customHeight="1" s="19"/>
    <row r="574" ht="15.75" customHeight="1" s="19"/>
    <row r="575" ht="15.75" customHeight="1" s="19"/>
    <row r="576" ht="15.75" customHeight="1" s="19"/>
    <row r="577" ht="15.75" customHeight="1" s="19"/>
    <row r="578" ht="15.75" customHeight="1" s="19"/>
    <row r="579" ht="15.75" customHeight="1" s="19"/>
    <row r="580" ht="15.75" customHeight="1" s="19"/>
    <row r="581" ht="15.75" customHeight="1" s="19"/>
    <row r="582" ht="15.75" customHeight="1" s="19"/>
    <row r="583" ht="15.75" customHeight="1" s="19"/>
    <row r="584" ht="15.75" customHeight="1" s="19"/>
    <row r="585" ht="15.75" customHeight="1" s="19"/>
    <row r="586" ht="15.75" customHeight="1" s="19"/>
    <row r="587" ht="15.75" customHeight="1" s="19"/>
    <row r="588" ht="15.75" customHeight="1" s="19"/>
    <row r="589" ht="15.75" customHeight="1" s="19"/>
    <row r="590" ht="15.75" customHeight="1" s="19"/>
    <row r="591" ht="15.75" customHeight="1" s="19"/>
    <row r="592" ht="15.75" customHeight="1" s="19"/>
    <row r="593" ht="15.75" customHeight="1" s="19"/>
    <row r="594" ht="15.75" customHeight="1" s="19"/>
    <row r="595" ht="15.75" customHeight="1" s="19"/>
    <row r="596" ht="15.75" customHeight="1" s="19"/>
    <row r="597" ht="15.75" customHeight="1" s="19"/>
    <row r="598" ht="15.75" customHeight="1" s="19"/>
    <row r="599" ht="15.75" customHeight="1" s="19"/>
    <row r="600" ht="15.75" customHeight="1" s="19"/>
    <row r="601" ht="15.75" customHeight="1" s="19"/>
    <row r="602" ht="15.75" customHeight="1" s="19"/>
    <row r="603" ht="15.75" customHeight="1" s="19"/>
    <row r="604" ht="15.75" customHeight="1" s="19"/>
    <row r="605" ht="15.75" customHeight="1" s="19"/>
    <row r="606" ht="15.75" customHeight="1" s="19"/>
    <row r="607" ht="15.75" customHeight="1" s="19"/>
    <row r="608" ht="15.75" customHeight="1" s="19"/>
    <row r="609" ht="15.75" customHeight="1" s="19"/>
    <row r="610" ht="15.75" customHeight="1" s="19"/>
    <row r="611" ht="15.75" customHeight="1" s="19"/>
    <row r="612" ht="15.75" customHeight="1" s="19"/>
    <row r="613" ht="15.75" customHeight="1" s="19"/>
    <row r="614" ht="15.75" customHeight="1" s="19"/>
    <row r="615" ht="15.75" customHeight="1" s="19"/>
    <row r="616" ht="15.75" customHeight="1" s="19"/>
    <row r="617" ht="15.75" customHeight="1" s="19"/>
    <row r="618" ht="15.75" customHeight="1" s="19"/>
    <row r="619" ht="15.75" customHeight="1" s="19"/>
    <row r="620" ht="15.75" customHeight="1" s="19"/>
    <row r="621" ht="15.75" customHeight="1" s="19"/>
    <row r="622" ht="15.75" customHeight="1" s="19"/>
    <row r="623" ht="15.75" customHeight="1" s="19"/>
    <row r="624" ht="15.75" customHeight="1" s="19"/>
    <row r="625" ht="15.75" customHeight="1" s="19"/>
    <row r="626" ht="15.75" customHeight="1" s="19"/>
    <row r="627" ht="15.75" customHeight="1" s="19"/>
    <row r="628" ht="15.75" customHeight="1" s="19"/>
    <row r="629" ht="15.75" customHeight="1" s="19"/>
    <row r="630" ht="15.75" customHeight="1" s="19"/>
    <row r="631" ht="15.75" customHeight="1" s="19"/>
    <row r="632" ht="15.75" customHeight="1" s="19"/>
    <row r="633" ht="15.75" customHeight="1" s="19"/>
    <row r="634" ht="15.75" customHeight="1" s="19"/>
    <row r="635" ht="15.75" customHeight="1" s="19"/>
    <row r="636" ht="15.75" customHeight="1" s="19"/>
    <row r="637" ht="15.75" customHeight="1" s="19"/>
    <row r="638" ht="15.75" customHeight="1" s="19"/>
    <row r="639" ht="15.75" customHeight="1" s="19"/>
    <row r="640" ht="15.75" customHeight="1" s="19"/>
    <row r="641" ht="15.75" customHeight="1" s="19"/>
    <row r="642" ht="15.75" customHeight="1" s="19"/>
    <row r="643" ht="15.75" customHeight="1" s="19"/>
    <row r="644" ht="15.75" customHeight="1" s="19"/>
    <row r="645" ht="15.75" customHeight="1" s="19"/>
    <row r="646" ht="15.75" customHeight="1" s="19"/>
    <row r="647" ht="15.75" customHeight="1" s="19"/>
    <row r="648" ht="15.75" customHeight="1" s="19"/>
    <row r="649" ht="15.75" customHeight="1" s="19"/>
    <row r="650" ht="15.75" customHeight="1" s="19"/>
    <row r="651" ht="15.75" customHeight="1" s="19"/>
    <row r="652" ht="15.75" customHeight="1" s="19"/>
    <row r="653" ht="15.75" customHeight="1" s="19"/>
    <row r="654" ht="15.75" customHeight="1" s="19"/>
    <row r="655" ht="15.75" customHeight="1" s="19"/>
    <row r="656" ht="15.75" customHeight="1" s="19"/>
    <row r="657" ht="15.75" customHeight="1" s="19"/>
    <row r="658" ht="15.75" customHeight="1" s="19"/>
    <row r="659" ht="15.75" customHeight="1" s="19"/>
    <row r="660" ht="15.75" customHeight="1" s="19"/>
    <row r="661" ht="15.75" customHeight="1" s="19"/>
    <row r="662" ht="15.75" customHeight="1" s="19"/>
    <row r="663" ht="15.75" customHeight="1" s="19"/>
    <row r="664" ht="15.75" customHeight="1" s="19"/>
    <row r="665" ht="15.75" customHeight="1" s="19"/>
    <row r="666" ht="15.75" customHeight="1" s="19"/>
    <row r="667" ht="15.75" customHeight="1" s="19"/>
    <row r="668" ht="15.75" customHeight="1" s="19"/>
    <row r="669" ht="15.75" customHeight="1" s="19"/>
    <row r="670" ht="15.75" customHeight="1" s="19"/>
    <row r="671" ht="15.75" customHeight="1" s="19"/>
    <row r="672" ht="15.75" customHeight="1" s="19"/>
    <row r="673" ht="15.75" customHeight="1" s="19"/>
    <row r="674" ht="15.75" customHeight="1" s="19"/>
    <row r="675" ht="15.75" customHeight="1" s="19"/>
    <row r="676" ht="15.75" customHeight="1" s="19"/>
    <row r="677" ht="15.75" customHeight="1" s="19"/>
    <row r="678" ht="15.75" customHeight="1" s="19"/>
    <row r="679" ht="15.75" customHeight="1" s="19"/>
    <row r="680" ht="15.75" customHeight="1" s="19"/>
    <row r="681" ht="15.75" customHeight="1" s="19"/>
    <row r="682" ht="15.75" customHeight="1" s="19"/>
    <row r="683" ht="15.75" customHeight="1" s="19"/>
    <row r="684" ht="15.75" customHeight="1" s="19"/>
    <row r="685" ht="15.75" customHeight="1" s="19"/>
    <row r="686" ht="15.75" customHeight="1" s="19"/>
    <row r="687" ht="15.75" customHeight="1" s="19"/>
    <row r="688" ht="15.75" customHeight="1" s="19"/>
    <row r="689" ht="15.75" customHeight="1" s="19"/>
    <row r="690" ht="15.75" customHeight="1" s="19"/>
    <row r="691" ht="15.75" customHeight="1" s="19"/>
    <row r="692" ht="15.75" customHeight="1" s="19"/>
    <row r="693" ht="15.75" customHeight="1" s="19"/>
    <row r="694" ht="15.75" customHeight="1" s="19"/>
    <row r="695" ht="15.75" customHeight="1" s="19"/>
    <row r="696" ht="15.75" customHeight="1" s="19"/>
    <row r="697" ht="15.75" customHeight="1" s="19"/>
    <row r="698" ht="15.75" customHeight="1" s="19"/>
    <row r="699" ht="15.75" customHeight="1" s="19"/>
    <row r="700" ht="15.75" customHeight="1" s="19"/>
    <row r="701" ht="15.75" customHeight="1" s="19"/>
    <row r="702" ht="15.75" customHeight="1" s="19"/>
    <row r="703" ht="15.75" customHeight="1" s="19"/>
    <row r="704" ht="15.75" customHeight="1" s="19"/>
    <row r="705" ht="15.75" customHeight="1" s="19"/>
    <row r="706" ht="15.75" customHeight="1" s="19"/>
    <row r="707" ht="15.75" customHeight="1" s="19"/>
    <row r="708" ht="15.75" customHeight="1" s="19"/>
    <row r="709" ht="15.75" customHeight="1" s="19"/>
    <row r="710" ht="15.75" customHeight="1" s="19"/>
    <row r="711" ht="15.75" customHeight="1" s="19"/>
    <row r="712" ht="15.75" customHeight="1" s="19"/>
    <row r="713" ht="15.75" customHeight="1" s="19"/>
    <row r="714" ht="15.75" customHeight="1" s="19"/>
    <row r="715" ht="15.75" customHeight="1" s="19"/>
    <row r="716" ht="15.75" customHeight="1" s="19"/>
    <row r="717" ht="15.75" customHeight="1" s="19"/>
    <row r="718" ht="15.75" customHeight="1" s="19"/>
    <row r="719" ht="15.75" customHeight="1" s="19"/>
    <row r="720" ht="15.75" customHeight="1" s="19"/>
    <row r="721" ht="15.75" customHeight="1" s="19"/>
    <row r="722" ht="15.75" customHeight="1" s="19"/>
    <row r="723" ht="15.75" customHeight="1" s="19"/>
    <row r="724" ht="15.75" customHeight="1" s="19"/>
    <row r="725" ht="15.75" customHeight="1" s="19"/>
    <row r="726" ht="15.75" customHeight="1" s="19"/>
    <row r="727" ht="15.75" customHeight="1" s="19"/>
    <row r="728" ht="15.75" customHeight="1" s="19"/>
    <row r="729" ht="15.75" customHeight="1" s="19"/>
    <row r="730" ht="15.75" customHeight="1" s="19"/>
    <row r="731" ht="15.75" customHeight="1" s="19"/>
    <row r="732" ht="15.75" customHeight="1" s="19"/>
    <row r="733" ht="15.75" customHeight="1" s="19"/>
    <row r="734" ht="15.75" customHeight="1" s="19"/>
    <row r="735" ht="15.75" customHeight="1" s="19"/>
    <row r="736" ht="15.75" customHeight="1" s="19"/>
    <row r="737" ht="15.75" customHeight="1" s="19"/>
    <row r="738" ht="15.75" customHeight="1" s="19"/>
    <row r="739" ht="15.75" customHeight="1" s="19"/>
    <row r="740" ht="15.75" customHeight="1" s="19"/>
    <row r="741" ht="15.75" customHeight="1" s="19"/>
    <row r="742" ht="15.75" customHeight="1" s="19"/>
    <row r="743" ht="15.75" customHeight="1" s="19"/>
    <row r="744" ht="15.75" customHeight="1" s="19"/>
    <row r="745" ht="15.75" customHeight="1" s="19"/>
    <row r="746" ht="15.75" customHeight="1" s="19"/>
    <row r="747" ht="15.75" customHeight="1" s="19"/>
    <row r="748" ht="15.75" customHeight="1" s="19"/>
    <row r="749" ht="15.75" customHeight="1" s="19"/>
    <row r="750" ht="15.75" customHeight="1" s="19"/>
    <row r="751" ht="15.75" customHeight="1" s="19"/>
    <row r="752" ht="15.75" customHeight="1" s="19"/>
    <row r="753" ht="15.75" customHeight="1" s="19"/>
    <row r="754" ht="15.75" customHeight="1" s="19"/>
    <row r="755" ht="15.75" customHeight="1" s="19"/>
    <row r="756" ht="15.75" customHeight="1" s="19"/>
    <row r="757" ht="15.75" customHeight="1" s="19"/>
    <row r="758" ht="15.75" customHeight="1" s="19"/>
    <row r="759" ht="15.75" customHeight="1" s="19"/>
    <row r="760" ht="15.75" customHeight="1" s="19"/>
    <row r="761" ht="15.75" customHeight="1" s="19"/>
    <row r="762" ht="15.75" customHeight="1" s="19"/>
    <row r="763" ht="15.75" customHeight="1" s="19"/>
    <row r="764" ht="15.75" customHeight="1" s="19"/>
    <row r="765" ht="15.75" customHeight="1" s="19"/>
    <row r="766" ht="15.75" customHeight="1" s="19"/>
    <row r="767" ht="15.75" customHeight="1" s="19"/>
    <row r="768" ht="15.75" customHeight="1" s="19"/>
    <row r="769" ht="15.75" customHeight="1" s="19"/>
    <row r="770" ht="15.75" customHeight="1" s="19"/>
    <row r="771" ht="15.75" customHeight="1" s="19"/>
    <row r="772" ht="15.75" customHeight="1" s="19"/>
    <row r="773" ht="15.75" customHeight="1" s="19"/>
    <row r="774" ht="15.75" customHeight="1" s="19"/>
    <row r="775" ht="15.75" customHeight="1" s="19"/>
    <row r="776" ht="15.75" customHeight="1" s="19"/>
    <row r="777" ht="15.75" customHeight="1" s="19"/>
    <row r="778" ht="15.75" customHeight="1" s="19"/>
    <row r="779" ht="15.75" customHeight="1" s="19"/>
    <row r="780" ht="15.75" customHeight="1" s="19"/>
    <row r="781" ht="15.75" customHeight="1" s="19"/>
    <row r="782" ht="15.75" customHeight="1" s="19"/>
    <row r="783" ht="15.75" customHeight="1" s="19"/>
    <row r="784" ht="15.75" customHeight="1" s="19"/>
    <row r="785" ht="15.75" customHeight="1" s="19"/>
    <row r="786" ht="15.75" customHeight="1" s="19"/>
    <row r="787" ht="15.75" customHeight="1" s="19"/>
    <row r="788" ht="15.75" customHeight="1" s="19"/>
    <row r="789" ht="15.75" customHeight="1" s="19"/>
    <row r="790" ht="15.75" customHeight="1" s="19"/>
    <row r="791" ht="15.75" customHeight="1" s="19"/>
    <row r="792" ht="15.75" customHeight="1" s="19"/>
    <row r="793" ht="15.75" customHeight="1" s="19"/>
    <row r="794" ht="15.75" customHeight="1" s="19"/>
    <row r="795" ht="15.75" customHeight="1" s="19"/>
    <row r="796" ht="15.75" customHeight="1" s="19"/>
    <row r="797" ht="15.75" customHeight="1" s="19"/>
    <row r="798" ht="15.75" customHeight="1" s="19"/>
    <row r="799" ht="15.75" customHeight="1" s="19"/>
    <row r="800" ht="15.75" customHeight="1" s="19"/>
    <row r="801" ht="15.75" customHeight="1" s="19"/>
    <row r="802" ht="15.75" customHeight="1" s="19"/>
    <row r="803" ht="15.75" customHeight="1" s="19"/>
    <row r="804" ht="15.75" customHeight="1" s="19"/>
    <row r="805" ht="15.75" customHeight="1" s="19"/>
    <row r="806" ht="15.75" customHeight="1" s="19"/>
    <row r="807" ht="15.75" customHeight="1" s="19"/>
    <row r="808" ht="15.75" customHeight="1" s="19"/>
    <row r="809" ht="15.75" customHeight="1" s="19"/>
    <row r="810" ht="15.75" customHeight="1" s="19"/>
    <row r="811" ht="15.75" customHeight="1" s="19"/>
    <row r="812" ht="15.75" customHeight="1" s="19"/>
    <row r="813" ht="15.75" customHeight="1" s="19"/>
    <row r="814" ht="15.75" customHeight="1" s="19"/>
    <row r="815" ht="15.75" customHeight="1" s="19"/>
    <row r="816" ht="15.75" customHeight="1" s="19"/>
    <row r="817" ht="15.75" customHeight="1" s="19"/>
    <row r="818" ht="15.75" customHeight="1" s="19"/>
    <row r="819" ht="15.75" customHeight="1" s="19"/>
    <row r="820" ht="15.75" customHeight="1" s="19"/>
    <row r="821" ht="15.75" customHeight="1" s="19"/>
    <row r="822" ht="15.75" customHeight="1" s="19"/>
    <row r="823" ht="15.75" customHeight="1" s="19"/>
    <row r="824" ht="15.75" customHeight="1" s="19"/>
    <row r="825" ht="15.75" customHeight="1" s="19"/>
    <row r="826" ht="15.75" customHeight="1" s="19"/>
    <row r="827" ht="15.75" customHeight="1" s="19"/>
    <row r="828" ht="15.75" customHeight="1" s="19"/>
    <row r="829" ht="15.75" customHeight="1" s="19"/>
    <row r="830" ht="15.75" customHeight="1" s="19"/>
    <row r="831" ht="15.75" customHeight="1" s="19"/>
    <row r="832" ht="15.75" customHeight="1" s="19"/>
    <row r="833" ht="15.75" customHeight="1" s="19"/>
    <row r="834" ht="15.75" customHeight="1" s="19"/>
    <row r="835" ht="15.75" customHeight="1" s="19"/>
    <row r="836" ht="15.75" customHeight="1" s="19"/>
    <row r="837" ht="15.75" customHeight="1" s="19"/>
    <row r="838" ht="15.75" customHeight="1" s="19"/>
    <row r="839" ht="15.75" customHeight="1" s="19"/>
    <row r="840" ht="15.75" customHeight="1" s="19"/>
    <row r="841" ht="15.75" customHeight="1" s="19"/>
    <row r="842" ht="15.75" customHeight="1" s="19"/>
    <row r="843" ht="15.75" customHeight="1" s="19"/>
    <row r="844" ht="15.75" customHeight="1" s="19"/>
    <row r="845" ht="15.75" customHeight="1" s="19"/>
    <row r="846" ht="15.75" customHeight="1" s="19"/>
    <row r="847" ht="15.75" customHeight="1" s="19"/>
    <row r="848" ht="15.75" customHeight="1" s="19"/>
    <row r="849" ht="15.75" customHeight="1" s="19"/>
    <row r="850" ht="15.75" customHeight="1" s="19"/>
    <row r="851" ht="15.75" customHeight="1" s="19"/>
    <row r="852" ht="15.75" customHeight="1" s="19"/>
    <row r="853" ht="15.75" customHeight="1" s="19"/>
    <row r="854" ht="15.75" customHeight="1" s="19"/>
    <row r="855" ht="15.75" customHeight="1" s="19"/>
    <row r="856" ht="15.75" customHeight="1" s="19"/>
    <row r="857" ht="15.75" customHeight="1" s="19"/>
    <row r="858" ht="15.75" customHeight="1" s="19"/>
    <row r="859" ht="15.75" customHeight="1" s="19"/>
    <row r="860" ht="15.75" customHeight="1" s="19"/>
    <row r="861" ht="15.75" customHeight="1" s="19"/>
    <row r="862" ht="15.75" customHeight="1" s="19"/>
    <row r="863" ht="15.75" customHeight="1" s="19"/>
    <row r="864" ht="15.75" customHeight="1" s="19"/>
    <row r="865" ht="15.75" customHeight="1" s="19"/>
    <row r="866" ht="15.75" customHeight="1" s="19"/>
    <row r="867" ht="15.75" customHeight="1" s="19"/>
    <row r="868" ht="15.75" customHeight="1" s="19"/>
    <row r="869" ht="15.75" customHeight="1" s="19"/>
    <row r="870" ht="15.75" customHeight="1" s="19"/>
    <row r="871" ht="15.75" customHeight="1" s="19"/>
    <row r="872" ht="15.75" customHeight="1" s="19"/>
    <row r="873" ht="15.75" customHeight="1" s="19"/>
    <row r="874" ht="15.75" customHeight="1" s="19"/>
    <row r="875" ht="15.75" customHeight="1" s="19"/>
    <row r="876" ht="15.75" customHeight="1" s="19"/>
    <row r="877" ht="15.75" customHeight="1" s="19"/>
    <row r="878" ht="15.75" customHeight="1" s="19"/>
    <row r="879" ht="15.75" customHeight="1" s="19"/>
    <row r="880" ht="15.75" customHeight="1" s="19"/>
    <row r="881" ht="15.75" customHeight="1" s="19"/>
    <row r="882" ht="15.75" customHeight="1" s="19"/>
    <row r="883" ht="15.75" customHeight="1" s="19"/>
    <row r="884" ht="15.75" customHeight="1" s="19"/>
    <row r="885" ht="15.75" customHeight="1" s="19"/>
    <row r="886" ht="15.75" customHeight="1" s="19"/>
    <row r="887" ht="15.75" customHeight="1" s="19"/>
    <row r="888" ht="15.75" customHeight="1" s="19"/>
    <row r="889" ht="15.75" customHeight="1" s="19"/>
    <row r="890" ht="15.75" customHeight="1" s="19"/>
    <row r="891" ht="15.75" customHeight="1" s="19"/>
    <row r="892" ht="15.75" customHeight="1" s="19"/>
    <row r="893" ht="15.75" customHeight="1" s="19"/>
    <row r="894" ht="15.75" customHeight="1" s="19"/>
    <row r="895" ht="15.75" customHeight="1" s="19"/>
    <row r="896" ht="15.75" customHeight="1" s="19"/>
    <row r="897" ht="15.75" customHeight="1" s="19"/>
    <row r="898" ht="15.75" customHeight="1" s="19"/>
    <row r="899" ht="15.75" customHeight="1" s="19"/>
    <row r="900" ht="15.75" customHeight="1" s="19"/>
    <row r="901" ht="15.75" customHeight="1" s="19"/>
    <row r="902" ht="15.75" customHeight="1" s="19"/>
    <row r="903" ht="15.75" customHeight="1" s="19"/>
    <row r="904" ht="15.75" customHeight="1" s="19"/>
    <row r="905" ht="15.75" customHeight="1" s="19"/>
    <row r="906" ht="15.75" customHeight="1" s="19"/>
    <row r="907" ht="15.75" customHeight="1" s="19"/>
    <row r="908" ht="15.75" customHeight="1" s="19"/>
    <row r="909" ht="15.75" customHeight="1" s="19"/>
    <row r="910" ht="15.75" customHeight="1" s="19"/>
    <row r="911" ht="15.75" customHeight="1" s="19"/>
    <row r="912" ht="15.75" customHeight="1" s="19"/>
    <row r="913" ht="15.75" customHeight="1" s="19"/>
    <row r="914" ht="15.75" customHeight="1" s="19"/>
    <row r="915" ht="15.75" customHeight="1" s="19"/>
    <row r="916" ht="15.75" customHeight="1" s="19"/>
    <row r="917" ht="15.75" customHeight="1" s="19"/>
    <row r="918" ht="15.75" customHeight="1" s="19"/>
    <row r="919" ht="15.75" customHeight="1" s="19"/>
    <row r="920" ht="15.75" customHeight="1" s="19"/>
    <row r="921" ht="15.75" customHeight="1" s="19"/>
    <row r="922" ht="15.75" customHeight="1" s="19"/>
    <row r="923" ht="15.75" customHeight="1" s="19"/>
    <row r="924" ht="15.75" customHeight="1" s="19"/>
    <row r="925" ht="15.75" customHeight="1" s="19"/>
    <row r="926" ht="15.75" customHeight="1" s="19"/>
    <row r="927" ht="15.75" customHeight="1" s="19"/>
    <row r="928" ht="15.75" customHeight="1" s="19"/>
    <row r="929" ht="15.75" customHeight="1" s="19"/>
    <row r="930" ht="15.75" customHeight="1" s="19"/>
    <row r="931" ht="15.75" customHeight="1" s="19"/>
    <row r="932" ht="15.75" customHeight="1" s="19"/>
    <row r="933" ht="15.75" customHeight="1" s="19"/>
    <row r="934" ht="15.75" customHeight="1" s="19"/>
    <row r="935" ht="15.75" customHeight="1" s="19"/>
    <row r="936" ht="15.75" customHeight="1" s="19"/>
    <row r="937" ht="15.75" customHeight="1" s="19"/>
    <row r="938" ht="15.75" customHeight="1" s="19"/>
    <row r="939" ht="15.75" customHeight="1" s="19"/>
    <row r="940" ht="15.75" customHeight="1" s="19"/>
    <row r="941" ht="15.75" customHeight="1" s="19"/>
    <row r="942" ht="15.75" customHeight="1" s="19"/>
    <row r="943" ht="15.75" customHeight="1" s="19"/>
    <row r="944" ht="15.75" customHeight="1" s="19"/>
    <row r="945" ht="15.75" customHeight="1" s="19"/>
    <row r="946" ht="15.75" customHeight="1" s="19"/>
    <row r="947" ht="15.75" customHeight="1" s="19"/>
    <row r="948" ht="15.75" customHeight="1" s="19"/>
    <row r="949" ht="15.75" customHeight="1" s="19"/>
    <row r="950" ht="15.75" customHeight="1" s="19"/>
    <row r="951" ht="15.75" customHeight="1" s="19"/>
    <row r="952" ht="15.75" customHeight="1" s="19"/>
    <row r="953" ht="15.75" customHeight="1" s="19"/>
    <row r="954" ht="15.75" customHeight="1" s="19"/>
    <row r="955" ht="15.75" customHeight="1" s="19"/>
    <row r="956" ht="15.75" customHeight="1" s="19"/>
    <row r="957" ht="15.75" customHeight="1" s="19"/>
    <row r="958" ht="15.75" customHeight="1" s="19"/>
    <row r="959" ht="15.75" customHeight="1" s="19"/>
    <row r="960" ht="15.75" customHeight="1" s="19"/>
    <row r="961" ht="15.75" customHeight="1" s="19"/>
    <row r="962" ht="15.75" customHeight="1" s="19"/>
    <row r="963" ht="15.75" customHeight="1" s="19"/>
    <row r="964" ht="15.75" customHeight="1" s="19"/>
    <row r="965" ht="15.75" customHeight="1" s="19"/>
    <row r="966" ht="15.75" customHeight="1" s="19"/>
    <row r="967" ht="15.75" customHeight="1" s="19"/>
    <row r="968" ht="15.75" customHeight="1" s="19"/>
    <row r="969" ht="15.75" customHeight="1" s="19"/>
    <row r="970" ht="15.75" customHeight="1" s="19"/>
    <row r="971" ht="15.75" customHeight="1" s="19"/>
    <row r="972" ht="15.75" customHeight="1" s="19"/>
    <row r="973" ht="15.75" customHeight="1" s="19"/>
    <row r="974" ht="15.75" customHeight="1" s="19"/>
    <row r="975" ht="15.75" customHeight="1" s="19"/>
    <row r="976" ht="15.75" customHeight="1" s="19"/>
    <row r="977" ht="15.75" customHeight="1" s="19"/>
    <row r="978" ht="15.75" customHeight="1" s="19"/>
    <row r="979" ht="15.75" customHeight="1" s="19"/>
    <row r="980" ht="15.75" customHeight="1" s="19"/>
    <row r="981" ht="15.75" customHeight="1" s="19"/>
    <row r="982" ht="15.75" customHeight="1" s="19"/>
    <row r="983" ht="15.75" customHeight="1" s="19"/>
    <row r="984" ht="15.75" customHeight="1" s="19"/>
    <row r="985" ht="15.75" customHeight="1" s="19"/>
    <row r="986" ht="15.75" customHeight="1" s="19"/>
    <row r="987" ht="15.75" customHeight="1" s="19"/>
    <row r="988" ht="15.75" customHeight="1" s="19"/>
    <row r="989" ht="15.75" customHeight="1" s="19"/>
    <row r="990" ht="15.75" customHeight="1" s="19"/>
    <row r="991" ht="15.75" customHeight="1" s="19"/>
    <row r="992" ht="15.75" customHeight="1" s="19"/>
    <row r="993" ht="15.75" customHeight="1" s="19"/>
    <row r="994" ht="15.75" customHeight="1" s="19"/>
    <row r="995" ht="15.75" customHeight="1" s="19"/>
    <row r="996" ht="15.75" customHeight="1" s="19"/>
    <row r="997" ht="15.75" customHeight="1" s="19"/>
    <row r="998" ht="15.75" customHeight="1" s="19"/>
    <row r="999" ht="15.75" customHeight="1" s="19"/>
    <row r="1000" ht="15.75" customHeight="1" s="19"/>
  </sheetData>
  <pageMargins left="0.75" right="0.75" top="1" bottom="1" header="0" footer="0"/>
  <pageSetup orientation="landscape"/>
</worksheet>
</file>

<file path=xl/worksheets/sheet8.xml><?xml version="1.0" encoding="utf-8"?>
<worksheet xmlns="http://schemas.openxmlformats.org/spreadsheetml/2006/main">
  <sheetPr>
    <outlinePr summaryBelow="1" summaryRight="1"/>
    <pageSetUpPr/>
  </sheetPr>
  <dimension ref="A1:Q102"/>
  <sheetViews>
    <sheetView showGridLines="0" workbookViewId="0">
      <pane xSplit="6" ySplit="4" topLeftCell="G5" activePane="bottomRight" state="frozen"/>
      <selection pane="topRight" activeCell="G1" sqref="G1"/>
      <selection pane="bottomLeft" activeCell="A5" sqref="A5"/>
      <selection pane="bottomRight" activeCell="G5" sqref="G5"/>
    </sheetView>
  </sheetViews>
  <sheetFormatPr baseColWidth="8" defaultColWidth="14.43" defaultRowHeight="15" customHeight="1"/>
  <cols>
    <col width="10" customWidth="1" style="19" min="1" max="1"/>
    <col width="25" customWidth="1" style="19" min="2" max="3"/>
    <col width="45" customWidth="1" style="19" min="4" max="4"/>
    <col width="35" customWidth="1" style="19" min="5" max="6"/>
    <col width="12" customWidth="1" style="19" min="7" max="7"/>
    <col width="14" customWidth="1" style="19" min="8" max="8"/>
    <col width="12" customWidth="1" style="19" min="9" max="9"/>
    <col width="14" customWidth="1" style="19" min="10" max="10"/>
    <col width="12" customWidth="1" style="19" min="11" max="11"/>
    <col width="14" customWidth="1" style="19" min="12" max="12"/>
    <col width="15" customWidth="1" style="19" min="13" max="13"/>
    <col width="22" customWidth="1" style="19" min="14" max="14"/>
    <col width="15" customWidth="1" style="19" min="15" max="15"/>
    <col width="45" customWidth="1" style="19" min="16" max="16"/>
    <col width="35" customWidth="1" style="19" min="17" max="17"/>
    <col width="8.710000000000001" customWidth="1" style="19" min="18" max="26"/>
  </cols>
  <sheetData>
    <row r="1">
      <c r="A1" s="1" t="inlineStr">
        <is>
          <t>MASTER QUESTION BANK: ALL 98 QUESTIONS (OCTOBER 2026 TEST)</t>
        </is>
      </c>
    </row>
    <row r="2">
      <c r="A2" s="2" t="inlineStr">
        <is>
          <t>Tập hợp toàn bộ 98 câu hỏi liên tục từ ID M1 đến M98 của cả 4 Modules để thi thử tổng hợp</t>
        </is>
      </c>
    </row>
    <row r="3"/>
    <row r="4" ht="27.75" customHeight="1" s="19">
      <c r="A4" s="3" t="inlineStr">
        <is>
          <t>Master ID</t>
        </is>
      </c>
      <c r="B4" s="3" t="inlineStr">
        <is>
          <t>Module Nguồn</t>
        </is>
      </c>
      <c r="C4" s="3" t="inlineStr">
        <is>
          <t>Topic / Skill Focus</t>
        </is>
      </c>
      <c r="D4" s="3" t="inlineStr">
        <is>
          <t>Passage &amp; Context</t>
        </is>
      </c>
      <c r="E4" s="3" t="inlineStr">
        <is>
          <t>Question Prompt / Calculator</t>
        </is>
      </c>
      <c r="F4" s="3" t="inlineStr">
        <is>
          <t>Options / Choices (No Answer)</t>
        </is>
      </c>
      <c r="G4" s="3" t="inlineStr">
        <is>
          <t>Lần thử 1</t>
        </is>
      </c>
      <c r="H4" s="3" t="inlineStr">
        <is>
          <t>Kết quả L1</t>
        </is>
      </c>
      <c r="I4" s="3" t="inlineStr">
        <is>
          <t>Lần thử 2</t>
        </is>
      </c>
      <c r="J4" s="3" t="inlineStr">
        <is>
          <t>Kết quả L2</t>
        </is>
      </c>
      <c r="K4" s="3" t="inlineStr">
        <is>
          <t>Lần thử 3</t>
        </is>
      </c>
      <c r="L4" s="3" t="inlineStr">
        <is>
          <t>Kết quả L3</t>
        </is>
      </c>
      <c r="M4" s="3" t="inlineStr">
        <is>
          <t>Tổng số cột Sai</t>
        </is>
      </c>
      <c r="N4" s="3" t="inlineStr">
        <is>
          <t>Trạng thái Hoàn thành</t>
        </is>
      </c>
      <c r="O4" s="3" t="inlineStr">
        <is>
          <t>Hiệu suất (%)</t>
        </is>
      </c>
      <c r="P4" s="3" t="inlineStr">
        <is>
          <t>Hint / Gợi ý Đa tầng (Không đáp án)</t>
        </is>
      </c>
      <c r="Q4" s="3" t="inlineStr">
        <is>
          <t>Strategic Tip / Formula</t>
        </is>
      </c>
    </row>
    <row r="5">
      <c r="A5" s="7" t="inlineStr">
        <is>
          <t>M1</t>
        </is>
      </c>
      <c r="B5" s="7" t="inlineStr">
        <is>
          <t>Reading &amp; Writing Module 1</t>
        </is>
      </c>
      <c r="C5" s="5" t="inlineStr">
        <is>
          <t>Vocabulary in Context (Precision)</t>
        </is>
      </c>
      <c r="D5" s="5" t="inlineStr">
        <is>
          <t>______ the source of a malfunction in a complex electrical system can be a painstaking, time-consuming process: a repair technician may need to test each individual component one by one until the specific part causing the problematic behavior is identified.</t>
        </is>
      </c>
      <c r="E5" s="5" t="inlineStr">
        <is>
          <t>Which choice completes the text with the most logical and precise word or phrase?</t>
        </is>
      </c>
      <c r="F5" s="5" t="inlineStr">
        <is>
          <t>A. Lựa chọn A
B. Lựa chọn B
C. Lựa chọn C
D. Lựa chọn D</t>
        </is>
      </c>
      <c r="G5" s="14" t="n"/>
      <c r="H5" s="7">
        <f>IF(ISBLANK(G5), "⏳ Chờ đáp án", IF(UPPER(TRIM(G5))="B", "✅ Đúng", "❌ Sai"))</f>
        <v/>
      </c>
      <c r="I5" s="14" t="n"/>
      <c r="J5" s="7">
        <f>IF(ISBLANK(I5), "", IF(UPPER(TRIM(I5))="B", "✅ Đúng", "❌ Sai"))</f>
        <v/>
      </c>
      <c r="K5" s="14" t="n"/>
      <c r="L5" s="7">
        <f>IF(ISBLANK(K5), "", IF(UPPER(TRIM(K5))="B", "✅ Đúng", "❌ Sai"))</f>
        <v/>
      </c>
      <c r="M5" s="7">
        <f>COUNTIF(H5, "❌ Sai") + COUNTIF(J5, "❌ Sai") + COUNTIF(L5, "❌ Sai")</f>
        <v/>
      </c>
      <c r="N5" s="7">
        <f>IF(ISBLANK(G5), "⏳ Chờ làm", IF(H5="✅ Đúng", "✅ Đúng ngay L1", IF(J5="✅ Đúng", "✅ Đúng ở L2", IF(L5="✅ Đúng", "✅ Đúng ở L3", "❌ Chưa đúng sau 3 lần"))))</f>
        <v/>
      </c>
      <c r="O5" s="13">
        <f>IF(ISBLANK(F5), "💡 Nhập đáp án vào Lần thử 1", IF(G5="✅ Đúng", "✨ Xuất sắc! Bạn đã làm đúng.", "💡 Gợi ý: " &amp; "Xác định thái độ của tác giả và mối quan hệ logic trong câu; chú ý các từ ngữ miêu tả mục đích chính xác của hành động."))</f>
        <v/>
      </c>
      <c r="P5" s="5">
        <f>IF(ISBLANK(G5), "💡 Nhập đáp án vào Lần thử 1", IF(OR(H5="✅ Đúng", J5="✅ Đúng", L5="✅ Đúng"), "✨ Xuất sắc! Bạn đã làm đúng.", IF(NOT(ISBLANK(K5)), "💡 Gợi ý Tầng 3 (Chốt phương pháp): " &amp; "Loại trừ các từ mang nghĩa tạo mới hay điều chỉnh chung; chọn động từ chỉ việc cô lập/xác định nguyên nhân đơn lẻ.", IF(NOT(ISBLANK(I5)), "💡 Gợi ý Tầng 2 (Manh mối cấu trúc &amp; Loại trừ): " &amp; "Chú ý cụm từ 'test each individual component one by one' thể hiện việc khoanh vùng chính xác bộ phận lỗi.", "💡 Gợi ý Tầng 1 (Định hướng bối cảnh): " &amp; "Xác định vai trò của động từ cần điền trong bối cảnh kỹ thuật sửa chữa hệ thống điện."))))</f>
        <v/>
      </c>
      <c r="Q5" s="5">
        <f>IF(OR(H5="✅ Đúng", J5="✅ Đúng", L5="✅ Đúng"), "Isolating = identifying/singling out the specific cause of a problem.", "🔒 Trả lời đúng để mở khóa Strategic Tip!")</f>
        <v/>
      </c>
    </row>
    <row r="6">
      <c r="A6" s="7" t="inlineStr">
        <is>
          <t>M2</t>
        </is>
      </c>
      <c r="B6" s="7" t="inlineStr">
        <is>
          <t>Reading &amp; Writing Module 1</t>
        </is>
      </c>
      <c r="C6" s="5" t="inlineStr">
        <is>
          <t>Vocabulary in Context (Biological Processes)</t>
        </is>
      </c>
      <c r="D6" s="5" t="inlineStr">
        <is>
          <t>Single-celled foraminifera inhabiting coastal waters experience significant environmental salinity changes during tidal cycles. How, then, do they ______ internal salt levels? Some organisms maintain high concentrations of phosphates that allow them to affect the concentration of internal electrolytes— including salt—in response to external changes. It may be that coastal foraminifera do the same.</t>
        </is>
      </c>
      <c r="E6" s="5" t="inlineStr">
        <is>
          <t>Which choice completes the text with the most logical and precise word or phrase?</t>
        </is>
      </c>
      <c r="F6" s="5" t="inlineStr">
        <is>
          <t>A. Lựa chọn A
B. Lựa chọn B
C. Lựa chọn C
D. Lựa chọn D</t>
        </is>
      </c>
      <c r="G6" s="14" t="n"/>
      <c r="H6" s="7">
        <f>IF(ISBLANK(G6), "⏳ Chờ đáp án", IF(UPPER(TRIM(G6))="D", "✅ Đúng", "❌ Sai"))</f>
        <v/>
      </c>
      <c r="I6" s="14" t="n"/>
      <c r="J6" s="7">
        <f>IF(ISBLANK(I6), "", IF(UPPER(TRIM(I6))="D", "✅ Đúng", "❌ Sai"))</f>
        <v/>
      </c>
      <c r="K6" s="14" t="n"/>
      <c r="L6" s="7">
        <f>IF(ISBLANK(K6), "", IF(UPPER(TRIM(K6))="D", "✅ Đúng", "❌ Sai"))</f>
        <v/>
      </c>
      <c r="M6" s="7">
        <f>COUNTIF(H6, "❌ Sai") + COUNTIF(J6, "❌ Sai") + COUNTIF(L6, "❌ Sai")</f>
        <v/>
      </c>
      <c r="N6" s="7">
        <f>IF(ISBLANK(G6), "⏳ Chờ làm", IF(H6="✅ Đúng", "✅ Đúng ngay L1", IF(J6="✅ Đúng", "✅ Đúng ở L2", IF(L6="✅ Đúng", "✅ Đúng ở L3", "❌ Chưa đúng sau 3 lần"))))</f>
        <v/>
      </c>
      <c r="O6" s="13">
        <f>IF(ISBLANK(F6), "💡 Nhập đáp án vào Lần thử 1", IF(G6="✅ Đúng", "✨ Xuất sắc! Bạn đã làm đúng.", "💡 Gợi ý: " &amp; "Phân tích ngữ cảnh sinh học trong đoạn văn và xác định động từ thể hiện đúng chức năng của cơ chế được mô tả."))</f>
        <v/>
      </c>
      <c r="P6" s="5">
        <f>IF(ISBLANK(G6), "💡 Nhập đáp án vào Lần thử 1", IF(OR(H6="✅ Đúng", J6="✅ Đúng", L6="✅ Đúng"), "✨ Xuất sắc! Bạn đã làm đúng.", IF(NOT(ISBLANK(K6)), "💡 Gợi ý Tầng 3 (Chốt phương pháp): " &amp; "Loại bỏ các động từ mang nghĩa phá hủy hay làm xáo trộn; tìm từ chỉ sự điều hòa/kiểm soát sinh học.", IF(NOT(ISBLANK(I6)), "💡 Gợi ý Tầng 2 (Manh mối cấu trúc &amp; Loại trừ): " &amp; "Cần một động từ miêu tả việc kiểm soát và duy trì mức độ ổn định của nồng độ muối.", "💡 Gợi ý Tầng 1 (Định hướng bối cảnh): " &amp; "Phân tích cơ chế sinh học điều chỉnh độ mặn nội bào của loài cá ngừ được miêu tả."))))</f>
        <v/>
      </c>
      <c r="Q6" s="5">
        <f>IF(OR(H6="✅ Đúng", J6="✅ Đúng", L6="✅ Đúng"), "Regulate = control or maintain at a steady level.", "🔒 Trả lời đúng để mở khóa Strategic Tip!")</f>
        <v/>
      </c>
    </row>
    <row r="7">
      <c r="A7" s="7" t="inlineStr">
        <is>
          <t>M3</t>
        </is>
      </c>
      <c r="B7" s="7" t="inlineStr">
        <is>
          <t>Reading &amp; Writing Module 1</t>
        </is>
      </c>
      <c r="C7" s="5" t="inlineStr">
        <is>
          <t>Vocabulary in Context (Research Approaches)</t>
        </is>
      </c>
      <c r="D7" s="5" t="inlineStr">
        <is>
          <t>Though most studies of the effect of altitude on blood chemistry usually concentrate on people who live above sea level, researchers Suleiman A. Al-Sweedan and Moath Alhaj have instead chosen the ______ path in their recent work of studying the blood of people who live below sea level, in locations such as the California towns of Westmorland and Thermal.</t>
        </is>
      </c>
      <c r="E7" s="5" t="inlineStr">
        <is>
          <t>Which choice completes the text with the most logical and precise word or phrase?</t>
        </is>
      </c>
      <c r="F7" s="5" t="inlineStr">
        <is>
          <t>A. Lựa chọn A
B. Lựa chọn B
C. Lựa chọn C
D. Lựa chọn D</t>
        </is>
      </c>
      <c r="G7" s="14" t="n"/>
      <c r="H7" s="7">
        <f>IF(ISBLANK(G7), "⏳ Chờ đáp án", IF(UPPER(TRIM(G7))="B", "✅ Đúng", "❌ Sai"))</f>
        <v/>
      </c>
      <c r="I7" s="14" t="n"/>
      <c r="J7" s="7">
        <f>IF(ISBLANK(I7), "", IF(UPPER(TRIM(I7))="B", "✅ Đúng", "❌ Sai"))</f>
        <v/>
      </c>
      <c r="K7" s="14" t="n"/>
      <c r="L7" s="7">
        <f>IF(ISBLANK(K7), "", IF(UPPER(TRIM(K7))="B", "✅ Đúng", "❌ Sai"))</f>
        <v/>
      </c>
      <c r="M7" s="7">
        <f>COUNTIF(H7, "❌ Sai") + COUNTIF(J7, "❌ Sai") + COUNTIF(L7, "❌ Sai")</f>
        <v/>
      </c>
      <c r="N7" s="7">
        <f>IF(ISBLANK(G7), "⏳ Chờ làm", IF(H7="✅ Đúng", "✅ Đúng ngay L1", IF(J7="✅ Đúng", "✅ Đúng ở L2", IF(L7="✅ Đúng", "✅ Đúng ở L3", "❌ Chưa đúng sau 3 lần"))))</f>
        <v/>
      </c>
      <c r="O7" s="13">
        <f>IF(ISBLANK(F7), "💡 Nhập đáp án vào Lần thử 1", IF(G7="✅ Đúng", "✨ Xuất sắc! Bạn đã làm đúng.", "💡 Gợi ý: " &amp; "Chú ý từ nối đối lập hoặc tương phản trong câu để xác định hướng nghiên cứu trái ngược với phương pháp truyền thống."))</f>
        <v/>
      </c>
      <c r="P7" s="5">
        <f>IF(ISBLANK(G7), "💡 Nhập đáp án vào Lần thử 1", IF(OR(H7="✅ Đúng", J7="✅ Đúng", L7="✅ Đúng"), "✨ Xuất sắc! Bạn đã làm đúng.", IF(NOT(ISBLANK(K7)), "💡 Gợi ý Tầng 3 (Chốt phương pháp): " &amp; "Cần từ miêu tả phương pháp làm việc khác biệt, đi ngược hoặc khác với lối tư duy truyền thống.", IF(NOT(ISBLANK(I7)), "💡 Gợi ý Tầng 2 (Manh mối cấu trúc &amp; Loại trừ): " &amp; "Chú ý từ nối hoặc ngữ cảnh đối lập giữa việc nghiên cứu trên đất liền và độ sâu dưới mực nước biển.", "💡 Gợi ý Tầng 1 (Định hướng bối cảnh): " &amp; "Phân tích hướng tiếp cận nghiên cứu của nhóm tác giả đối với môi trường đại dương."))))</f>
        <v/>
      </c>
      <c r="Q7" s="5">
        <f>IF(OR(H7="✅ Đúng", J7="✅ Đúng", L7="✅ Đúng"), "Innovative = introducing new, original, or unusual methods.", "🔒 Trả lời đúng để mở khóa Strategic Tip!")</f>
        <v/>
      </c>
    </row>
    <row r="8">
      <c r="A8" s="7" t="inlineStr">
        <is>
          <t>M4</t>
        </is>
      </c>
      <c r="B8" s="7" t="inlineStr">
        <is>
          <t>Reading &amp; Writing Module 1</t>
        </is>
      </c>
      <c r="C8" s="5" t="inlineStr">
        <is>
          <t>Vocabulary in Context (Sufficiency)</t>
        </is>
      </c>
      <c r="D8" s="5" t="inlineStr">
        <is>
          <t>While once ______, basic computer security training that only teaches recognition of obvious scams cannot provide enough protection against today’s sophisticated fake emails, which employ such subtle deception techniques that many organizations now require their staff to complete comprehensive cybersecurity education programs.</t>
        </is>
      </c>
      <c r="E8" s="5" t="inlineStr">
        <is>
          <t>Which choice completes the text with the most logical and precise word or phrase?</t>
        </is>
      </c>
      <c r="F8" s="5" t="inlineStr">
        <is>
          <t>A. Lựa chọn A
B. Lựa chọn B
C. Lựa chọn C
D. Lựa chọn D</t>
        </is>
      </c>
      <c r="G8" s="14" t="n"/>
      <c r="H8" s="7">
        <f>IF(ISBLANK(G8), "⏳ Chờ đáp án", IF(UPPER(TRIM(G8))="C", "✅ Đúng", "❌ Sai"))</f>
        <v/>
      </c>
      <c r="I8" s="14" t="n"/>
      <c r="J8" s="7">
        <f>IF(ISBLANK(I8), "", IF(UPPER(TRIM(I8))="C", "✅ Đúng", "❌ Sai"))</f>
        <v/>
      </c>
      <c r="K8" s="14" t="n"/>
      <c r="L8" s="7">
        <f>IF(ISBLANK(K8), "", IF(UPPER(TRIM(K8))="C", "✅ Đúng", "❌ Sai"))</f>
        <v/>
      </c>
      <c r="M8" s="7">
        <f>COUNTIF(H8, "❌ Sai") + COUNTIF(J8, "❌ Sai") + COUNTIF(L8, "❌ Sai")</f>
        <v/>
      </c>
      <c r="N8" s="7">
        <f>IF(ISBLANK(G8), "⏳ Chờ làm", IF(H8="✅ Đúng", "✅ Đúng ngay L1", IF(J8="✅ Đúng", "✅ Đúng ở L2", IF(L8="✅ Đúng", "✅ Đúng ở L3", "❌ Chưa đúng sau 3 lần"))))</f>
        <v/>
      </c>
      <c r="O8" s="13">
        <f>IF(ISBLANK(F8), "💡 Nhập đáp án vào Lần thử 1", IF(G8="✅ Đúng", "✨ Xuất sắc! Bạn đã làm đúng.", "💡 Gợi ý: " &amp; "Đọc kỹ câu văn để xác định mức độ hoặc giới hạn của việc đào tạo được đề cập trước khi đưa ra lựa chọn."))</f>
        <v/>
      </c>
      <c r="P8" s="5">
        <f>IF(ISBLANK(G8), "💡 Nhập đáp án vào Lần thử 1", IF(OR(H8="✅ Đúng", J8="✅ Đúng", L8="✅ Đúng"), "✨ Xuất sắc! Bạn đã làm đúng.", IF(NOT(ISBLANK(K8)), "💡 Gợi ý Tầng 3 (Chốt phương pháp): " &amp; "Chọn từ miêu tả sự đầy đủ/thỏa đáng; loại các từ mang nghĩa thái quá hoặc không đủ.", IF(NOT(ISBLANK(I8)), "💡 Gợi ý Tầng 2 (Manh mối cấu trúc &amp; Loại trừ): " &amp; "Chú ý vế đối lập phía sau về các đòn tấn công tinh vi đòi hỏi cấp độ bảo vệ cao hơn.", "💡 Gợi ý Tầng 1 (Định hướng bối cảnh): " &amp; "Đọc kỹ câu văn để xác định mức độ hoặc giới hạn bảo vệ của việc đào tạo cơ bản."))))</f>
        <v/>
      </c>
      <c r="Q8" s="5">
        <f>IF(OR(H8="✅ Đúng", J8="✅ Đúng", L8="✅ Đúng"), "Sufficient = adequate or enough for a specific requirement.", "🔒 Trả lời đúng để mở khóa Strategic Tip!")</f>
        <v/>
      </c>
    </row>
    <row r="9">
      <c r="A9" s="7" t="inlineStr">
        <is>
          <t>M5</t>
        </is>
      </c>
      <c r="B9" s="7" t="inlineStr">
        <is>
          <t>Reading &amp; Writing Module 1</t>
        </is>
      </c>
      <c r="C9" s="5" t="inlineStr">
        <is>
          <t>Text Structure &amp; Overall Purpose</t>
        </is>
      </c>
      <c r="D9" s="5" t="inlineStr">
        <is>
          <t>What is a city? The answer depends on where you live! Many countries define an area as a city based on how many people live there. However, not every country uses the same numbers. Iceland defines a city as an area with a population of at least 200, while the Netherlands defines a city as having a minimum population of 20,000. Some countries even define cities using other factors, like if there is a local government.</t>
        </is>
      </c>
      <c r="E9" s="5" t="inlineStr">
        <is>
          <t>Which choice best describes the overall structure of the text?</t>
        </is>
      </c>
      <c r="F9" s="5" t="inlineStr">
        <is>
          <t>A. Lựa chọn A
B. Lựa chọn B
C. Lựa chọn C
D. Lựa chọn D</t>
        </is>
      </c>
      <c r="G9" s="14" t="n"/>
      <c r="H9" s="7">
        <f>IF(ISBLANK(G9), "⏳ Chờ đáp án", IF(UPPER(TRIM(G9))="B", "✅ Đúng", "❌ Sai"))</f>
        <v/>
      </c>
      <c r="I9" s="14" t="n"/>
      <c r="J9" s="7">
        <f>IF(ISBLANK(I9), "", IF(UPPER(TRIM(I9))="B", "✅ Đúng", "❌ Sai"))</f>
        <v/>
      </c>
      <c r="K9" s="14" t="n"/>
      <c r="L9" s="7">
        <f>IF(ISBLANK(K9), "", IF(UPPER(TRIM(K9))="B", "✅ Đúng", "❌ Sai"))</f>
        <v/>
      </c>
      <c r="M9" s="7">
        <f>COUNTIF(H9, "❌ Sai") + COUNTIF(J9, "❌ Sai") + COUNTIF(L9, "❌ Sai")</f>
        <v/>
      </c>
      <c r="N9" s="7">
        <f>IF(ISBLANK(G9), "⏳ Chờ làm", IF(H9="✅ Đúng", "✅ Đúng ngay L1", IF(J9="✅ Đúng", "✅ Đúng ở L2", IF(L9="✅ Đúng", "✅ Đúng ở L3", "❌ Chưa đúng sau 3 lần"))))</f>
        <v/>
      </c>
      <c r="O9" s="13">
        <f>IF(ISBLANK(F9), "💡 Nhập đáp án vào Lần thử 1", IF(G9="✅ Đúng", "✨ Xuất sắc! Bạn đã làm đúng.", "💡 Gợi ý: " &amp; "Xác định câu hỏi mở đầu và phân tích cách tác giả phát triển các quan điểm khác nhau qua từng phần của bài đọc."))</f>
        <v/>
      </c>
      <c r="P9" s="5">
        <f>IF(ISBLANK(G9), "💡 Nhập đáp án vào Lần thử 1", IF(OR(H9="✅ Đúng", J9="✅ Đúng", L9="✅ Đúng"), "✨ Xuất sắc! Bạn đã làm đúng.", IF(NOT(ISBLANK(K9)), "💡 Gợi ý Tầng 3 (Chốt phương pháp): " &amp; "Mục đích chính là trình bày các quan điểm đa dạng về một khái niệm thay vì chỉ bảo vệ một góc nhìn duy nhất.", IF(NOT(ISBLANK(I9)), "💡 Gợi ý Tầng 2 (Manh mối cấu trúc &amp; Loại trừ): " &amp; "Bài đọc bắt đầu bằng câu hỏi 'What is a city?' và đưa ra các góc nhìn định nghĩa khác nhau.", "💡 Gợi ý Tầng 1 (Định hướng bối cảnh): " &amp; "Xác định cấu trúc tổng thể của bài đọc từ câu hỏi mở đầu đến các câu tiếp theo."))))</f>
        <v/>
      </c>
      <c r="Q9" s="5">
        <f>IF(OR(H9="✅ Đúng", J9="✅ Đúng", L9="✅ Đúng"), "Mô hình cấu trúc: Question -&gt; Multiple Explanations/Answers.", "🔒 Trả lời đúng để mở khóa Strategic Tip!")</f>
        <v/>
      </c>
    </row>
    <row r="10">
      <c r="A10" s="7" t="inlineStr">
        <is>
          <t>M6</t>
        </is>
      </c>
      <c r="B10" s="7" t="inlineStr">
        <is>
          <t>Reading &amp; Writing Module 1</t>
        </is>
      </c>
      <c r="C10" s="5" t="inlineStr">
        <is>
          <t>Main Purpose (Literary Narrative)</t>
        </is>
      </c>
      <c r="D10" s="5" t="inlineStr">
        <is>
          <t>The following text is adapted from the 1940 novel The Hamlet by William Faulkner. In rural Mississippi, a man is riding a horse toward the residence of someone he intends to meet with about a business matter. He was breathing hard but not because he had been galloping. On the contrary, since he had approached near enough to his destination to believe he could have seen smoke if there had been smoke, he had ridden slower and slower. Nevertheless he now sat the horse before the gap in the fence, breathing hard enough through his nose and even sweating a little, looking at the sagging broken-backed cabin set in its inevitable treeless and grassless plot and weathered to the color of an old bee-hive, with that expression of tense and rapid speculation of a man approaching a dud howitzer [artillery] shell.
©1967 by Estelle Faulkner and Jill Faulkner Summers</t>
        </is>
      </c>
      <c r="E10" s="5" t="inlineStr">
        <is>
          <t>Which choice best states the main purpose of the text?</t>
        </is>
      </c>
      <c r="F10" s="5" t="inlineStr">
        <is>
          <t>A. Lựa chọn A
B. Lựa chọn B
C. Lựa chọn C
D. Lựa chọn D</t>
        </is>
      </c>
      <c r="G10" s="14" t="n"/>
      <c r="H10" s="7">
        <f>IF(ISBLANK(G10), "⏳ Chờ đáp án", IF(UPPER(TRIM(G10))="D", "✅ Đúng", "❌ Sai"))</f>
        <v/>
      </c>
      <c r="I10" s="14" t="n"/>
      <c r="J10" s="7">
        <f>IF(ISBLANK(I10), "", IF(UPPER(TRIM(I10))="D", "✅ Đúng", "❌ Sai"))</f>
        <v/>
      </c>
      <c r="K10" s="14" t="n"/>
      <c r="L10" s="7">
        <f>IF(ISBLANK(K10), "", IF(UPPER(TRIM(K10))="D", "✅ Đúng", "❌ Sai"))</f>
        <v/>
      </c>
      <c r="M10" s="7">
        <f>COUNTIF(H10, "❌ Sai") + COUNTIF(J10, "❌ Sai") + COUNTIF(L10, "❌ Sai")</f>
        <v/>
      </c>
      <c r="N10" s="7">
        <f>IF(ISBLANK(G10), "⏳ Chờ làm", IF(H10="✅ Đúng", "✅ Đúng ngay L1", IF(J10="✅ Đúng", "✅ Đúng ở L2", IF(L10="✅ Đúng", "✅ Đúng ở L3", "❌ Chưa đúng sau 3 lần"))))</f>
        <v/>
      </c>
      <c r="O10" s="13">
        <f>IF(ISBLANK(F10), "💡 Nhập đáp án vào Lần thử 1", IF(G10="✅ Đúng", "✨ Xuất sắc! Bạn đã làm đúng.", "💡 Gợi ý: " &amp; "Tập trung vào các chi tiết miêu tả cảm xúc và hành vi của nhân vật để rút ra chủ đề chính của đoạn văn."))</f>
        <v/>
      </c>
      <c r="P10" s="5">
        <f>IF(ISBLANK(G10), "💡 Nhập đáp án vào Lần thử 1", IF(OR(H10="✅ Đúng", J10="✅ Đúng", L10="✅ Đúng"), "✨ Xuất sắc! Bạn đã làm đúng.", IF(NOT(ISBLANK(K10)), "💡 Gợi ý Tầng 3 (Chốt phương pháp): " &amp; "Mục đích chính là thể hiện trạng thái tâm lý lo âu/căng thẳng của nhân vật qua hành vi cụ thể.", IF(NOT(ISBLANK(I10)), "💡 Gợi ý Tầng 2 (Manh mối cấu trúc &amp; Loại trừ): " &amp; "Chú ý các dấu hiệu như thở gấp, đổ mồ hôi và nét mặt căng thẳng trong bối cảnh truyện.", "💡 Gợi ý Tầng 1 (Định hướng bối cảnh): " &amp; "Tập trung vào các chi tiết miêu tả cảm xúc và biểu hiện thể chất của nhân vật."))))</f>
        <v/>
      </c>
      <c r="Q10" s="5">
        <f>IF(OR(H10="✅ Đúng", J10="✅ Đúng", L10="✅ Đúng"), "Văn xuôi hư cấu: Biểu hiện thể chất phản ánh trạng thái tâm lý nhân vật.", "🔒 Trả lời đúng để mở khóa Strategic Tip!")</f>
        <v/>
      </c>
    </row>
    <row r="11">
      <c r="A11" s="7" t="inlineStr">
        <is>
          <t>M7</t>
        </is>
      </c>
      <c r="B11" s="7" t="inlineStr">
        <is>
          <t>Reading &amp; Writing Module 1</t>
        </is>
      </c>
      <c r="C11" s="5" t="inlineStr">
        <is>
          <t>Main Purpose (Informational Text)</t>
        </is>
      </c>
      <c r="D11" s="5" t="inlineStr">
        <is>
          <t>Modern forestry offers diverse career opportunities that integrate scientific knowledge with hands-on environmental work. Arborists assess tree health and perform maintenance such as pruning to promote safety and prevent problems. Forestry technicians collect data on growth patterns and biodiversity in the wild. Forest ecologists conduct field research and analyze ecosystems to understand how forests respond to changes in weather patterns. With this blend of scientific understanding and practical application, forestry professionals address a variety of complex environmental challenges.</t>
        </is>
      </c>
      <c r="E11" s="5" t="inlineStr">
        <is>
          <t>Which choice best describes the main purpose of the text?</t>
        </is>
      </c>
      <c r="F11" s="5" t="inlineStr">
        <is>
          <t>A. Lựa chọn A
B. Lựa chọn B
C. Lựa chọn C
D. Lựa chọn D</t>
        </is>
      </c>
      <c r="G11" s="14" t="n"/>
      <c r="H11" s="7">
        <f>IF(ISBLANK(G11), "⏳ Chờ đáp án", IF(UPPER(TRIM(G11))="D", "✅ Đúng", "❌ Sai"))</f>
        <v/>
      </c>
      <c r="I11" s="14" t="n"/>
      <c r="J11" s="7">
        <f>IF(ISBLANK(I11), "", IF(UPPER(TRIM(I11))="D", "✅ Đúng", "❌ Sai"))</f>
        <v/>
      </c>
      <c r="K11" s="14" t="n"/>
      <c r="L11" s="7">
        <f>IF(ISBLANK(K11), "", IF(UPPER(TRIM(K11))="D", "✅ Đúng", "❌ Sai"))</f>
        <v/>
      </c>
      <c r="M11" s="7">
        <f>COUNTIF(H11, "❌ Sai") + COUNTIF(J11, "❌ Sai") + COUNTIF(L11, "❌ Sai")</f>
        <v/>
      </c>
      <c r="N11" s="7">
        <f>IF(ISBLANK(G11), "⏳ Chờ làm", IF(H11="✅ Đúng", "✅ Đúng ngay L1", IF(J11="✅ Đúng", "✅ Đúng ở L2", IF(L11="✅ Đúng", "✅ Đúng ở L3", "❌ Chưa đúng sau 3 lần"))))</f>
        <v/>
      </c>
      <c r="O11" s="13">
        <f>IF(ISBLANK(F11), "💡 Nhập đáp án vào Lần thử 1", IF(G11="✅ Đúng", "✨ Xuất sắc! Bạn đã làm đúng.", "💡 Gợi ý: " &amp; "So sánh câu mở đầu và câu kết thúc của bài đọc để tổng hợp mục đích chung mà tác giả muốn truyền tải."))</f>
        <v/>
      </c>
      <c r="P11" s="5">
        <f>IF(ISBLANK(G11), "💡 Nhập đáp án vào Lần thử 1", IF(OR(H11="✅ Đúng", J11="✅ Đúng", L11="✅ Đúng"), "✨ Xuất sắc! Bạn đã làm đúng.", IF(NOT(ISBLANK(K11)), "💡 Gợi ý Tầng 3 (Chốt phương pháp): " &amp; "Mục đích là tổng quan các cơ hội nghề nghiệp đa dạng trong lĩnh vực được nêu.", IF(NOT(ISBLANK(I11)), "💡 Gợi ý Tầng 2 (Manh mối cấu trúc &amp; Loại trừ): " &amp; "Đoạn văn liệt kê các hướng đi công việc và cơ hội phát triển trong ngành lâm nghiệp.", "💡 Gợi ý Tầng 1 (Định hướng bối cảnh): " &amp; "So sánh câu mở đầu và câu kết thúc của bài đọc để xác định chủ đề xuyên suốt."))))</f>
        <v/>
      </c>
      <c r="Q11" s="5">
        <f>IF(OR(H11="✅ Đúng", J11="✅ Đúng", L11="✅ Đúng"), "Main Purpose = Topic (Forestry Careers) + So What? (Integrate science and practical work).", "🔒 Trả lời đúng để mở khóa Strategic Tip!")</f>
        <v/>
      </c>
    </row>
    <row r="12">
      <c r="A12" s="7" t="inlineStr">
        <is>
          <t>M8</t>
        </is>
      </c>
      <c r="B12" s="7" t="inlineStr">
        <is>
          <t>Reading &amp; Writing Module 1</t>
        </is>
      </c>
      <c r="C12" s="5" t="inlineStr">
        <is>
          <t>Detail &amp; Literal Comprehension</t>
        </is>
      </c>
      <c r="D12" s="5" t="inlineStr">
        <is>
          <t>James Fong and his team claim to have discovered a new color, which they named olo. Olo is a very saturated blue-green color that can’t be seen with the human eye under natural conditions. In the human eye, long, medium, and short cones in the retina help sense bright light and color. Olo can only be seen by activating the medium cones alone. Fong and team activated these cones by using a targeted laser technology to stimulate just the medium cone cells.</t>
        </is>
      </c>
      <c r="E12" s="5" t="inlineStr">
        <is>
          <t>According to the text, how can the color olo be seen?</t>
        </is>
      </c>
      <c r="F12" s="5" t="inlineStr">
        <is>
          <t>A. Lựa chọn A
B. Lựa chọn B
C. Lựa chọn C
D. Lựa chọn D</t>
        </is>
      </c>
      <c r="G12" s="14" t="n"/>
      <c r="H12" s="7">
        <f>IF(ISBLANK(G12), "⏳ Chờ đáp án", IF(UPPER(TRIM(G12))="A", "✅ Đúng", "❌ Sai"))</f>
        <v/>
      </c>
      <c r="I12" s="14" t="n"/>
      <c r="J12" s="7">
        <f>IF(ISBLANK(I12), "", IF(UPPER(TRIM(I12))="A", "✅ Đúng", "❌ Sai"))</f>
        <v/>
      </c>
      <c r="K12" s="14" t="n"/>
      <c r="L12" s="7">
        <f>IF(ISBLANK(K12), "", IF(UPPER(TRIM(K12))="A", "✅ Đúng", "❌ Sai"))</f>
        <v/>
      </c>
      <c r="M12" s="7">
        <f>COUNTIF(H12, "❌ Sai") + COUNTIF(J12, "❌ Sai") + COUNTIF(L12, "❌ Sai")</f>
        <v/>
      </c>
      <c r="N12" s="7">
        <f>IF(ISBLANK(G12), "⏳ Chờ làm", IF(H12="✅ Đúng", "✅ Đúng ngay L1", IF(J12="✅ Đúng", "✅ Đúng ở L2", IF(L12="✅ Đúng", "✅ Đúng ở L3", "❌ Chưa đúng sau 3 lần"))))</f>
        <v/>
      </c>
      <c r="O12" s="13">
        <f>IF(ISBLANK(F12), "💡 Nhập đáp án vào Lần thử 1", IF(G12="✅ Đúng", "✨ Xuất sắc! Bạn đã làm đúng.", "💡 Gợi ý: " &amp; "Tìm vị trí từ khóa trong bài đọc và đối chiếu chính xác thông tin được phát biểu trực tiếp."))</f>
        <v/>
      </c>
      <c r="P12" s="5">
        <f>IF(ISBLANK(G12), "💡 Nhập đáp án vào Lần thử 1", IF(OR(H12="✅ Đúng", J12="✅ Đúng", L12="✅ Đúng"), "✨ Xuất sắc! Bạn đã làm đúng.", IF(NOT(ISBLANK(K12)), "💡 Gợi ý Tầng 3 (Chốt phương pháp): " &amp; "Chọn đáp án diễn đạt lại chính xác (paraphrase) điều kiện kích hoạt được nêu trực tiếp trên mặt chữ.", IF(NOT(ISBLANK(I12)), "💡 Gợi ý Tầng 2 (Manh mối cấu trúc &amp; Loại trừ): " &amp; "Đối chiếu trực tiếp chi tiết về điều kiện nhìn thấy được miêu tả ở phần giữa bài đọc.", "💡 Gợi ý Tầng 1 (Định hướng bối cảnh): " &amp; "Xác định từ khóa tên riêng được đề cập trong câu hỏi và định vị câu chứa thông tin."))))</f>
        <v/>
      </c>
      <c r="Q12" s="5">
        <f>IF(OR(H12="✅ Đúng", J12="✅ Đúng", L12="✅ Đúng"), "Literal Comprehension: Paraphrase đúng nguyên văn bài đọc, không suy diễn.", "🔒 Trả lời đúng để mở khóa Strategic Tip!")</f>
        <v/>
      </c>
    </row>
    <row r="13">
      <c r="A13" s="7" t="inlineStr">
        <is>
          <t>M9</t>
        </is>
      </c>
      <c r="B13" s="7" t="inlineStr">
        <is>
          <t>Reading &amp; Writing Module 1</t>
        </is>
      </c>
      <c r="C13" s="5" t="inlineStr">
        <is>
          <t>Quantitative Evidence (Graph)</t>
        </is>
      </c>
      <c r="D13" s="5" t="inlineStr">
        <is>
          <t>A student is collecting data about countries with volcanoes that have been active in the time since 1800 and in the time since 1960. The student records that Ethiopia has ______</t>
        </is>
      </c>
      <c r="E13" s="5" t="inlineStr">
        <is>
          <t>Which choice most effectively uses data from the graph to complete the statement?</t>
        </is>
      </c>
      <c r="F13" s="5" t="inlineStr">
        <is>
          <t>A. Lựa chọn A
B. Lựa chọn B
C. Lựa chọn C
D. Lựa chọn D</t>
        </is>
      </c>
      <c r="G13" s="14" t="n"/>
      <c r="H13" s="7">
        <f>IF(ISBLANK(G13), "⏳ Chờ đáp án", IF(UPPER(TRIM(G13))="C", "✅ Đúng", "❌ Sai"))</f>
        <v/>
      </c>
      <c r="I13" s="14" t="n"/>
      <c r="J13" s="7">
        <f>IF(ISBLANK(I13), "", IF(UPPER(TRIM(I13))="C", "✅ Đúng", "❌ Sai"))</f>
        <v/>
      </c>
      <c r="K13" s="14" t="n"/>
      <c r="L13" s="7">
        <f>IF(ISBLANK(K13), "", IF(UPPER(TRIM(K13))="C", "✅ Đúng", "❌ Sai"))</f>
        <v/>
      </c>
      <c r="M13" s="7">
        <f>COUNTIF(H13, "❌ Sai") + COUNTIF(J13, "❌ Sai") + COUNTIF(L13, "❌ Sai")</f>
        <v/>
      </c>
      <c r="N13" s="7">
        <f>IF(ISBLANK(G13), "⏳ Chờ làm", IF(H13="✅ Đúng", "✅ Đúng ngay L1", IF(J13="✅ Đúng", "✅ Đúng ở L2", IF(L13="✅ Đúng", "✅ Đúng ở L3", "❌ Chưa đúng sau 3 lần"))))</f>
        <v/>
      </c>
      <c r="O13" s="13">
        <f>IF(ISBLANK(F13), "💡 Nhập đáp án vào Lần thử 1", IF(G13="✅ Đúng", "✨ Xuất sắc! Bạn đã làm đúng.", "💡 Gợi ý: " &amp; "Quan sát các trục của biểu đồ và so sánh giá trị số liệu giữa hai đối tượng được hỏi."))</f>
        <v/>
      </c>
      <c r="P13" s="5">
        <f>IF(ISBLANK(G13), "💡 Nhập đáp án vào Lần thử 1", IF(OR(H13="✅ Đúng", J13="✅ Đúng", L13="✅ Đúng"), "✨ Xuất sắc! Bạn đã làm đúng.", IF(NOT(ISBLANK(K13)), "💡 Gợi ý Tầng 3 (Chốt phương pháp): " &amp; "Chọn đáp án phản ánh đúng mối quan hệ lớn hơn/nhỏ hơn giữa hai số liệu trên đồ thị.", IF(NOT(ISBLANK(I13)), "💡 Gợi ý Tầng 2 (Manh mối cấu trúc &amp; Loại trừ): " &amp; "So sánh chiều cao của các cột đại diện cho số lượng núi lửa hoạt động giữa hai vùng.", "💡 Gợi ý Tầng 1 (Định hướng bối cảnh): " &amp; "Quan sát biểu đồ và xác định đúng hai quốc gia cùng mốc thời gian từ năm 1960."))))</f>
        <v/>
      </c>
      <c r="Q13" s="5">
        <f>IF(OR(H13="✅ Đúng", J13="✅ Đúng", L13="✅ Đúng"), "Đọc chính xác cột chú giải và số liệu tương ứng của hai quốc gia.", "🔒 Trả lời đúng để mở khóa Strategic Tip!")</f>
        <v/>
      </c>
    </row>
    <row r="14">
      <c r="A14" s="7" t="inlineStr">
        <is>
          <t>M10</t>
        </is>
      </c>
      <c r="B14" s="7" t="inlineStr">
        <is>
          <t>Reading &amp; Writing Module 1</t>
        </is>
      </c>
      <c r="C14" s="5" t="inlineStr">
        <is>
          <t>Command of Evidence (Quotation)</t>
        </is>
      </c>
      <c r="D14" s="5" t="inlineStr">
        <is>
          <t>Editor Jared Shurin’s enormous 2023 anthology The Big Book of Cyberpunk comprises 108 stories. Shurin’s volume is chronologically expansive, featuring such stories as James Tiptree Jr.’s “The Girl Who Was Plugged In” (1973) and Erica Satifka’s “Act of Providence” (2021). In his introduction, Shurin defines cyberpunk as a subgenre of speculative fiction concerning “the influence of technology on the scale, the pace, or the pattern of human affairs”; however, some critics assert that cyberpunk is a literary movement that is in large part aesthetic rather than idea driven.</t>
        </is>
      </c>
      <c r="E14" s="5" t="inlineStr">
        <is>
          <t>Which quotation from a literary critic would be the most effective evidence in support of the underlined claim?</t>
        </is>
      </c>
      <c r="F14" s="5" t="inlineStr">
        <is>
          <t>A. Lựa chọn A
B. Lựa chọn B
C. Lựa chọn C
D. Lựa chọn D</t>
        </is>
      </c>
      <c r="G14" s="14" t="n"/>
      <c r="H14" s="7">
        <f>IF(ISBLANK(G14), "⏳ Chờ đáp án", IF(UPPER(TRIM(G14))="D", "✅ Đúng", "❌ Sai"))</f>
        <v/>
      </c>
      <c r="I14" s="14" t="n"/>
      <c r="J14" s="7">
        <f>IF(ISBLANK(I14), "", IF(UPPER(TRIM(I14))="D", "✅ Đúng", "❌ Sai"))</f>
        <v/>
      </c>
      <c r="K14" s="14" t="n"/>
      <c r="L14" s="7">
        <f>IF(ISBLANK(K14), "", IF(UPPER(TRIM(K14))="D", "✅ Đúng", "❌ Sai"))</f>
        <v/>
      </c>
      <c r="M14" s="7">
        <f>COUNTIF(H14, "❌ Sai") + COUNTIF(J14, "❌ Sai") + COUNTIF(L14, "❌ Sai")</f>
        <v/>
      </c>
      <c r="N14" s="7">
        <f>IF(ISBLANK(G14), "⏳ Chờ làm", IF(H14="✅ Đúng", "✅ Đúng ngay L1", IF(J14="✅ Đúng", "✅ Đúng ở L2", IF(L14="✅ Đúng", "✅ Đúng ở L3", "❌ Chưa đúng sau 3 lần"))))</f>
        <v/>
      </c>
      <c r="O14" s="13">
        <f>IF(ISBLANK(F14), "💡 Nhập đáp án vào Lần thử 1", IF(G14="✅ Đúng", "✨ Xuất sắc! Bạn đã làm đúng.", "💡 Gợi ý: " &amp; "Tìm trích dẫn chứa các từ khóa liên quan trực tiếp đến khía cạnh thẩm mỹ hoặc phong cách được nêu trong câu hỏi."))</f>
        <v/>
      </c>
      <c r="P14" s="5">
        <f>IF(ISBLANK(G14), "💡 Nhập đáp án vào Lần thử 1", IF(OR(H14="✅ Đúng", J14="✅ Đúng", L14="✅ Đúng"), "✨ Xuất sắc! Bạn đã làm đúng.", IF(NOT(ISBLANK(K14)), "💡 Gợi ý Tầng 3 (Chốt phương pháp): " &amp; "Loại trừ các trích dẫn chỉ nói về chức năng kỹ thuật; chọn câu nhấn mạnh khía cạnh phong cách/thẩm mỹ.", IF(NOT(ISBLANK(I14)), "💡 Gợi ý Tầng 2 (Manh mối cấu trúc &amp; Loại trừ): " &amp; "Tìm câu trích dẫn chứa các từ miêu tả dáng vẻ bên ngoài, phụ kiện hoặc yếu tố văn hóa đại chúng.", "💡 Gợi ý Tầng 1 (Định hướng bối cảnh): " &amp; "Đọc kỹ yêu cầu câu hỏi về yếu tố thẩm mỹ hoặc biểu tượng phong cách."))))</f>
        <v/>
      </c>
      <c r="Q14" s="5">
        <f>IF(OR(H14="✅ Đúng", J14="✅ Đúng", L14="✅ Đúng"), "Bằng chứng hỗ trợ phải trực tiếp chứng minh tính chất 'aesthetic' (thẩm mỹ).", "🔒 Trả lời đúng để mở khóa Strategic Tip!")</f>
        <v/>
      </c>
    </row>
    <row r="15">
      <c r="A15" s="7" t="inlineStr">
        <is>
          <t>M11</t>
        </is>
      </c>
      <c r="B15" s="7" t="inlineStr">
        <is>
          <t>Reading &amp; Writing Module 1</t>
        </is>
      </c>
      <c r="C15" s="5" t="inlineStr">
        <is>
          <t>Command of Evidence (Table Data)</t>
        </is>
      </c>
      <c r="D15" s="5" t="inlineStr">
        <is>
          <t>Employment in Tribal Economies in December 2017 and December 2023 by Sector Economic sector Approximate total number of employees, 2017 Percentage of workforce, 2017 Approximate total number of employees, 2023 Percentage of workforce, 2023 Business sector (all tribal businesses) 220,700 66.0% 232,300 65.4% Leisure and hospitality businesses 185,100 55.3% 192,300 54.2% Education and healthcare businesses 19,100 5.7% 21,600 6.1% Other businesses 16,500 5.0% 18,400 5.1% Public sector (tribal government and public administration) 113,800 34.0% 122,700 34.6% Tribal nations employ a large percentage of their populations in tribally owned businesses as well as in government and public administration. This is especially true in Oklahoma and other states with robust tribal economies and large Native populations. Between end-of-year 2017 and end-of-year 2023, the percentage of tribal employees working in the public sector increased, from 34.0% to 34.6%, while the percentage working in the business sector declined from 66.0% to 65.4%.</t>
        </is>
      </c>
      <c r="E15" s="5" t="inlineStr">
        <is>
          <t>Which statement about the decline in the percentage of tribal employees working in the business sector is best supported by information in the table?</t>
        </is>
      </c>
      <c r="F15" s="5" t="inlineStr">
        <is>
          <t>A. Lựa chọn A
B. Lựa chọn B
C. Lựa chọn C
D. Lựa chọn D</t>
        </is>
      </c>
      <c r="G15" s="14" t="n"/>
      <c r="H15" s="7">
        <f>IF(ISBLANK(G15), "⏳ Chờ đáp án", IF(UPPER(TRIM(G15))="A", "✅ Đúng", "❌ Sai"))</f>
        <v/>
      </c>
      <c r="I15" s="14" t="n"/>
      <c r="J15" s="7">
        <f>IF(ISBLANK(I15), "", IF(UPPER(TRIM(I15))="A", "✅ Đúng", "❌ Sai"))</f>
        <v/>
      </c>
      <c r="K15" s="14" t="n"/>
      <c r="L15" s="7">
        <f>IF(ISBLANK(K15), "", IF(UPPER(TRIM(K15))="A", "✅ Đúng", "❌ Sai"))</f>
        <v/>
      </c>
      <c r="M15" s="7">
        <f>COUNTIF(H15, "❌ Sai") + COUNTIF(J15, "❌ Sai") + COUNTIF(L15, "❌ Sai")</f>
        <v/>
      </c>
      <c r="N15" s="7">
        <f>IF(ISBLANK(G15), "⏳ Chờ làm", IF(H15="✅ Đúng", "✅ Đúng ngay L1", IF(J15="✅ Đúng", "✅ Đúng ở L2", IF(L15="✅ Đúng", "✅ Đúng ở L3", "❌ Chưa đúng sau 3 lần"))))</f>
        <v/>
      </c>
      <c r="O15" s="13">
        <f>IF(ISBLANK(F15), "💡 Nhập đáp án vào Lần thử 1", IF(G15="✅ Đúng", "✨ Xuất sắc! Bạn đã làm đúng.", "💡 Gợi ý: " &amp; "Đọc kỹ số liệu trong bảng ở các hàng/cột tương ứng với thời gian và ngành nghề được đề cập."))</f>
        <v/>
      </c>
      <c r="P15" s="5">
        <f>IF(ISBLANK(G15), "💡 Nhập đáp án vào Lần thử 1", IF(OR(H15="✅ Đúng", J15="✅ Đúng", L15="✅ Đúng"), "✨ Xuất sắc! Bạn đã làm đúng.", IF(NOT(ISBLANK(K15)), "💡 Gợi ý Tầng 3 (Chốt phương pháp): " &amp; "Chọn đáp án nêu đúng sự thay đổi tăng/giảm dựa trên phép trừ số liệu chính xác trong bảng.", IF(NOT(ISBLANK(I15)), "💡 Gợi ý Tầng 2 (Manh mối cấu trúc &amp; Loại trừ): " &amp; "So sánh giá trị nhân viên thực tế giữa các mốc năm trong ngành kinh doanh.", "💡 Gợi ý Tầng 1 (Định hướng bối cảnh): " &amp; "Định vị ngành nghề và khoảng thời gian được đề cập trong bảng số liệu."))))</f>
        <v/>
      </c>
      <c r="Q15" s="5">
        <f>IF(OR(H15="✅ Đúng", J15="✅ Đúng", L15="✅ Đúng"), "Tỷ lệ % giảm không có nghĩa là số lượng tuyệt đối giảm nếu tổng quy mô tăng.", "🔒 Trả lời đúng để mở khóa Strategic Tip!")</f>
        <v/>
      </c>
    </row>
    <row r="16">
      <c r="A16" s="7" t="inlineStr">
        <is>
          <t>M12</t>
        </is>
      </c>
      <c r="B16" s="7" t="inlineStr">
        <is>
          <t>Reading &amp; Writing Module 1</t>
        </is>
      </c>
      <c r="C16" s="5" t="inlineStr">
        <is>
          <t>Command of Evidence (Chart Interpretation)</t>
        </is>
      </c>
      <c r="D16" s="5" t="inlineStr">
        <is>
          <t>While US public charities, like Commonfund, must file Form 990 yearly with the IRS, private foundations, such as Lilly Endowment Inc., must file a different form, 990-PF. In addition, foundations that engage in certain prohibited activities must also file Form 4720 and pay a penalty tax on the money involved. Private foundations are prohibited from holding excess interests in a business enterprise, “self-dealing” (conducting activities that benefit foundation insiders), making taxable expenditures such as grants to noncharitable entities, and failing to cross a required threshold in making charitable distributions from income. Out of the organizations that filed Form 990-PF in the years 2003–2005, ______</t>
        </is>
      </c>
      <c r="E16" s="5" t="inlineStr">
        <is>
          <t>Which choice most effectively uses data from the graph to complete the assertion?</t>
        </is>
      </c>
      <c r="F16" s="5" t="inlineStr">
        <is>
          <t>A. Lựa chọn A
B. Lựa chọn B
C. Lựa chọn C
D. Lựa chọn D</t>
        </is>
      </c>
      <c r="G16" s="14" t="n"/>
      <c r="H16" s="7">
        <f>IF(ISBLANK(G16), "⏳ Chờ đáp án", IF(UPPER(TRIM(G16))="C", "✅ Đúng", "❌ Sai"))</f>
        <v/>
      </c>
      <c r="I16" s="14" t="n"/>
      <c r="J16" s="7">
        <f>IF(ISBLANK(I16), "", IF(UPPER(TRIM(I16))="C", "✅ Đúng", "❌ Sai"))</f>
        <v/>
      </c>
      <c r="K16" s="14" t="n"/>
      <c r="L16" s="7">
        <f>IF(ISBLANK(K16), "", IF(UPPER(TRIM(K16))="C", "✅ Đúng", "❌ Sai"))</f>
        <v/>
      </c>
      <c r="M16" s="7">
        <f>COUNTIF(H16, "❌ Sai") + COUNTIF(J16, "❌ Sai") + COUNTIF(L16, "❌ Sai")</f>
        <v/>
      </c>
      <c r="N16" s="7">
        <f>IF(ISBLANK(G16), "⏳ Chờ làm", IF(H16="✅ Đúng", "✅ Đúng ngay L1", IF(J16="✅ Đúng", "✅ Đúng ở L2", IF(L16="✅ Đúng", "✅ Đúng ở L3", "❌ Chưa đúng sau 3 lần"))))</f>
        <v/>
      </c>
      <c r="O16" s="13">
        <f>IF(ISBLANK(F16), "💡 Nhập đáp án vào Lần thử 1", IF(G16="✅ Đúng", "✨ Xuất sắc! Bạn đã làm đúng.", "💡 Gợi ý: " &amp; "So sánh tỉ lệ hoặc giá trị giữa các năm được biểu diễn trên đồ thị để xác định xu hướng chính."))</f>
        <v/>
      </c>
      <c r="P16" s="5">
        <f>IF(ISBLANK(G16), "💡 Nhập đáp án vào Lần thử 1", IF(OR(H16="✅ Đúng", J16="✅ Đúng", L16="✅ Đúng"), "✨ Xuất sắc! Bạn đã làm đúng.", IF(NOT(ISBLANK(K16)), "💡 Gợi ý Tầng 3 (Chốt phương pháp): " &amp; "Chọn đáp án phản ánh chính xác xu hướng biến động số liệu được thể hiện trên đồ thị.", IF(NOT(ISBLANK(I16)), "💡 Gợi ý Tầng 2 (Manh mối cấu trúc &amp; Loại trừ): " &amp; "So sánh tỉ lệ giữa hai năm được hỏi (2003 và 2005) để xem năm nào cao hơn.", "💡 Gợi ý Tầng 1 (Định hướng bối cảnh): " &amp; "Chú ý chỉ số phần trăm do 'undistributed income' trên biểu đồ qua các mốc năm."))))</f>
        <v/>
      </c>
      <c r="Q16" s="5">
        <f>IF(OR(H16="✅ Đúng", J16="✅ Đúng", L16="✅ Đúng"), "Đọc đúng cột năm (2003 vs 2005) và nhóm lý do bị phạt.", "🔒 Trả lời đúng để mở khóa Strategic Tip!")</f>
        <v/>
      </c>
    </row>
    <row r="17">
      <c r="A17" s="7" t="inlineStr">
        <is>
          <t>M13</t>
        </is>
      </c>
      <c r="B17" s="7" t="inlineStr">
        <is>
          <t>Reading &amp; Writing Module 1</t>
        </is>
      </c>
      <c r="C17" s="5" t="inlineStr">
        <is>
          <t>Command of Evidence (Literary Text)</t>
        </is>
      </c>
      <c r="D17" s="5" t="inlineStr">
        <is>
          <t>Philoctetes is a play by Sophocles that was first performed in 409 BCE. In the play, Odysseus and Neoptolemus must retrieve Philoctetes—a master archer who is believed necessary for the Greeks to win the Trojan War—from a cave on a deserted island where Odysseus and others had abandoned him with a debilitating injury earlier in the war. Odysseus suggests that the plan for returning with Philoctetes rests on Neoptolemus not having been part of the group that abandoned him: ______</t>
        </is>
      </c>
      <c r="E17" s="5" t="inlineStr">
        <is>
          <t>Which quotation from Philoctetes most effectively illustrates the claim?</t>
        </is>
      </c>
      <c r="F17" s="5" t="inlineStr">
        <is>
          <t>A. Lựa chọn A
B. Lựa chọn B
C. Lựa chọn C
D. Lựa chọn D</t>
        </is>
      </c>
      <c r="G17" s="14" t="n"/>
      <c r="H17" s="7">
        <f>IF(ISBLANK(G17), "⏳ Chờ đáp án", IF(UPPER(TRIM(G17))="C", "✅ Đúng", "❌ Sai"))</f>
        <v/>
      </c>
      <c r="I17" s="14" t="n"/>
      <c r="J17" s="7">
        <f>IF(ISBLANK(I17), "", IF(UPPER(TRIM(I17))="C", "✅ Đúng", "❌ Sai"))</f>
        <v/>
      </c>
      <c r="K17" s="14" t="n"/>
      <c r="L17" s="7">
        <f>IF(ISBLANK(K17), "", IF(UPPER(TRIM(K17))="C", "✅ Đúng", "❌ Sai"))</f>
        <v/>
      </c>
      <c r="M17" s="7">
        <f>COUNTIF(H17, "❌ Sai") + COUNTIF(J17, "❌ Sai") + COUNTIF(L17, "❌ Sai")</f>
        <v/>
      </c>
      <c r="N17" s="7">
        <f>IF(ISBLANK(G17), "⏳ Chờ làm", IF(H17="✅ Đúng", "✅ Đúng ngay L1", IF(J17="✅ Đúng", "✅ Đúng ở L2", IF(L17="✅ Đúng", "✅ Đúng ở L3", "❌ Chưa đúng sau 3 lần"))))</f>
        <v/>
      </c>
      <c r="O17" s="13">
        <f>IF(ISBLANK(F17), "💡 Nhập đáp án vào Lần thử 1", IF(G17="✅ Đúng", "✨ Xuất sắc! Bạn đã làm đúng.", "💡 Gợi ý: " &amp; "Tìm trích dẫn giải thích nguyên nhân hoặc động cơ dẫn đến sự tin tưởng của nhân vật."))</f>
        <v/>
      </c>
      <c r="P17" s="5">
        <f>IF(ISBLANK(G17), "💡 Nhập đáp án vào Lần thử 1", IF(OR(H17="✅ Đúng", J17="✅ Đúng", L17="✅ Đúng"), "✨ Xuất sắc! Bạn đã làm đúng.", IF(NOT(ISBLANK(K17)), "💡 Gợi ý Tầng 3 (Chốt phương pháp): " &amp; "Chọn trích dẫn thể hiện rõ việc nhân vật không tham gia vào hành động bỏ rơi trước đó.", IF(NOT(ISBLANK(I17)), "💡 Gợi ý Tầng 2 (Manh mối cấu trúc &amp; Loại trừ): " &amp; "Tìm câu thoại hoặc lời kể giải thích lý do nhân vật không bị coi là người phản bội.", "💡 Gợi ý Tầng 1 (Định hướng bối cảnh): " &amp; "Xác định nguyên nhân dẫn đến sự tin tưởng của nhân vật được hỏi trong tác phẩm."))))</f>
        <v/>
      </c>
      <c r="Q17" s="5">
        <f>IF(OR(H17="✅ Đúng", J17="✅ Đúng", L17="✅ Đúng"), "Chọn câu thoại thể hiện rõ luận điểm Neoptolemus không thuộc nhóm cũ.", "🔒 Trả lời đúng để mở khóa Strategic Tip!")</f>
        <v/>
      </c>
    </row>
    <row r="18">
      <c r="A18" s="7" t="inlineStr">
        <is>
          <t>M14</t>
        </is>
      </c>
      <c r="B18" s="7" t="inlineStr">
        <is>
          <t>Reading &amp; Writing Module 1</t>
        </is>
      </c>
      <c r="C18" s="5" t="inlineStr">
        <is>
          <t>Text Completion / Logical Inference</t>
        </is>
      </c>
      <c r="D18" s="5" t="inlineStr">
        <is>
          <t>Louis-Ferdinand Céline’s 1932 novel Journey to the End of the Night is regularly described as autobiographical. That characterization is apt—there are many parallels between the experiences of the novel’s protagonist, Ferdinand Bardamu, and those of Céline—but it should not be taken to mean that every person or event depicted in Journey to the End of the Night has a real-life analogue. Much of the novel is pure invention, and readers who overlook this fact and instead focus excessively on correspondences between the novel and Céline’s life can thus ______</t>
        </is>
      </c>
      <c r="E18" s="5" t="inlineStr">
        <is>
          <t>Which choice most logically completes the text?</t>
        </is>
      </c>
      <c r="F18" s="5" t="inlineStr">
        <is>
          <t>A. Lựa chọn A
B. Lựa chọn B
C. Lựa chọn C
D. Lựa chọn D</t>
        </is>
      </c>
      <c r="G18" s="14" t="n"/>
      <c r="H18" s="7">
        <f>IF(ISBLANK(G18), "⏳ Chờ đáp án", IF(UPPER(TRIM(G18))="A", "✅ Đúng", "❌ Sai"))</f>
        <v/>
      </c>
      <c r="I18" s="14" t="n"/>
      <c r="J18" s="7">
        <f>IF(ISBLANK(I18), "", IF(UPPER(TRIM(I18))="A", "✅ Đúng", "❌ Sai"))</f>
        <v/>
      </c>
      <c r="K18" s="14" t="n"/>
      <c r="L18" s="7">
        <f>IF(ISBLANK(K18), "", IF(UPPER(TRIM(K18))="A", "✅ Đúng", "❌ Sai"))</f>
        <v/>
      </c>
      <c r="M18" s="7">
        <f>COUNTIF(H18, "❌ Sai") + COUNTIF(J18, "❌ Sai") + COUNTIF(L18, "❌ Sai")</f>
        <v/>
      </c>
      <c r="N18" s="7">
        <f>IF(ISBLANK(G18), "⏳ Chờ làm", IF(H18="✅ Đúng", "✅ Đúng ngay L1", IF(J18="✅ Đúng", "✅ Đúng ở L2", IF(L18="✅ Đúng", "✅ Đúng ở L3", "❌ Chưa đúng sau 3 lần"))))</f>
        <v/>
      </c>
      <c r="O18" s="13">
        <f>IF(ISBLANK(F18), "💡 Nhập đáp án vào Lần thử 1", IF(G18="✅ Đúng", "✨ Xuất sắc! Bạn đã làm đúng.", "💡 Gợi ý: " &amp; "Xác định mối quan hệ nguyên nhân - kết quả giữa hai khía cạnh được thảo luận trong bài."))</f>
        <v/>
      </c>
      <c r="P18" s="5">
        <f>IF(ISBLANK(G18), "💡 Nhập đáp án vào Lần thử 1", IF(OR(H18="✅ Đúng", J18="✅ Đúng", L18="✅ Đúng"), "✨ Xuất sắc! Bạn đã làm đúng.", IF(NOT(ISBLANK(K18)), "💡 Gợi ý Tầng 3 (Chốt phương pháp): " &amp; "Chọn câu kết luận chỉ ra sự thiếu sót trong việc đánh giá toàn diện tác phẩm nếu chỉ nhìn một chiều.", IF(NOT(ISBLANK(I18)), "💡 Gợi ý Tầng 2 (Manh mối cấu trúc &amp; Loại trừ): " &amp; "Chú ý từ nối đối lập chỉ ra hậu quả của việc bỏ qua khía cạnh hư cấu trong nghiên cứu.", "💡 Gợi ý Tầng 1 (Định hướng bối cảnh): " &amp; "Xác định mối quan hệ logic giữa việc tập trung vào yếu tố tự thuật và yếu tố sáng tác."))))</f>
        <v/>
      </c>
      <c r="Q18" s="5">
        <f>IF(OR(H18="✅ Đúng", J18="✅ Đúng", L18="✅ Đúng"), "Suy luận logic: Xem nhẹ 'pure invention' -&gt; Bỏ qua tính sáng tạo (creativity).", "🔒 Trả lời đúng để mở khóa Strategic Tip!")</f>
        <v/>
      </c>
    </row>
    <row r="19">
      <c r="A19" s="7" t="inlineStr">
        <is>
          <t>M15</t>
        </is>
      </c>
      <c r="B19" s="7" t="inlineStr">
        <is>
          <t>Reading &amp; Writing Module 1</t>
        </is>
      </c>
      <c r="C19" s="5" t="inlineStr">
        <is>
          <t>Text Completion / Inference</t>
        </is>
      </c>
      <c r="D19" s="5" t="inlineStr">
        <is>
          <t>Last-mile delivery, the final stage in the delivery of products to customers, is subject to increasing pressure as consumers place greater emphasis on convenience and immediacy, increasingly expecting next-day delivery. In response to this challenge and others, such as the increasing volume of parcels to be delivered, delivery companies are continually looking for ways to make last-mile delivery more efficient. One advance in last-mile delivery is the use of self-service lockers (containers where consumers can pick up their parcels using a unique code). This approach, while promising, also introduces new obstacles (e.g., convenient placement of self-service lockers is challenging). It is therefore likely that ______</t>
        </is>
      </c>
      <c r="E19" s="5" t="inlineStr">
        <is>
          <t>Which choice most logically completes the text?</t>
        </is>
      </c>
      <c r="F19" s="5" t="inlineStr">
        <is>
          <t>A. Lựa chọn A
B. Lựa chọn B
C. Lựa chọn C
D. Lựa chọn D</t>
        </is>
      </c>
      <c r="G19" s="14" t="n"/>
      <c r="H19" s="7">
        <f>IF(ISBLANK(G19), "⏳ Chờ đáp án", IF(UPPER(TRIM(G19))="A", "✅ Đúng", "❌ Sai"))</f>
        <v/>
      </c>
      <c r="I19" s="14" t="n"/>
      <c r="J19" s="7">
        <f>IF(ISBLANK(I19), "", IF(UPPER(TRIM(I19))="A", "✅ Đúng", "❌ Sai"))</f>
        <v/>
      </c>
      <c r="K19" s="14" t="n"/>
      <c r="L19" s="7">
        <f>IF(ISBLANK(K19), "", IF(UPPER(TRIM(K19))="A", "✅ Đúng", "❌ Sai"))</f>
        <v/>
      </c>
      <c r="M19" s="7">
        <f>COUNTIF(H19, "❌ Sai") + COUNTIF(J19, "❌ Sai") + COUNTIF(L19, "❌ Sai")</f>
        <v/>
      </c>
      <c r="N19" s="7">
        <f>IF(ISBLANK(G19), "⏳ Chờ làm", IF(H19="✅ Đúng", "✅ Đúng ngay L1", IF(J19="✅ Đúng", "✅ Đúng ở L2", IF(L19="✅ Đúng", "✅ Đúng ở L3", "❌ Chưa đúng sau 3 lần"))))</f>
        <v/>
      </c>
      <c r="O19" s="13">
        <f>IF(ISBLANK(F19), "💡 Nhập đáp án vào Lần thử 1", IF(G19="✅ Đúng", "✨ Xuất sắc! Bạn đã làm đúng.", "💡 Gợi ý: " &amp; "Phân tích lập luận của tác giả và chọn câu kết luận nối tiếp hợp lý với dữ kiện đã cho."))</f>
        <v/>
      </c>
      <c r="P19" s="5">
        <f>IF(ISBLANK(G19), "💡 Nhập đáp án vào Lần thử 1", IF(OR(H19="✅ Đúng", J19="✅ Đúng", L19="✅ Đúng"), "✨ Xuất sắc! Bạn đã làm đúng.", IF(NOT(ISBLANK(K19)), "💡 Gợi ý Tầng 3 (Chốt phương pháp): " &amp; "Chọn kết luận nối tiếp hợp lý, thể hiện sự suy giảm hoặc thay đổi hành vi tương ứng.", IF(NOT(ISBLANK(I19)), "💡 Gợi ý Tầng 2 (Manh mối cấu trúc &amp; Loại trừ): " &amp; "Chú ý các bằng chứng được đưa ra ở câu trước về sự thay đổi nguồn thức ăn.", "💡 Gợi ý Tầng 1 (Định hướng bối cảnh): " &amp; "Phân tích lập luận của tác giả về tác động của biến đổi khí hậu đối với loài động vật."))))</f>
        <v/>
      </c>
      <c r="Q19" s="5">
        <f>IF(OR(H19="✅ Đúng", J19="✅ Đúng", L19="✅ Đúng"), "Kết luận hợp lý: Giải pháp hiện tại gặp thách thức -&gt; Cần tiếp tục thử nghiệm ý tưởng mới.", "🔒 Trả lời đúng để mở khóa Strategic Tip!")</f>
        <v/>
      </c>
    </row>
    <row r="20">
      <c r="A20" s="7" t="inlineStr">
        <is>
          <t>M16</t>
        </is>
      </c>
      <c r="B20" s="7" t="inlineStr">
        <is>
          <t>Reading &amp; Writing Module 1</t>
        </is>
      </c>
      <c r="C20" s="5" t="inlineStr">
        <is>
          <t>Standard English Conventions (Relative Clauses)</t>
        </is>
      </c>
      <c r="D20" s="5" t="inlineStr">
        <is>
          <t>With an average summer temperature of 82.5 degrees Fahrenheit, Nicosia is one European ______ many travelers recommend, especially from June to September.</t>
        </is>
      </c>
      <c r="E20" s="5" t="inlineStr">
        <is>
          <t>Which choice completes the text so that it conforms to the conventions of Standard English?</t>
        </is>
      </c>
      <c r="F20" s="5" t="inlineStr">
        <is>
          <t>A. Lựa chọn A
B. Lựa chọn B
C. Lựa chọn C
D. Lựa chọn D</t>
        </is>
      </c>
      <c r="G20" s="14" t="n"/>
      <c r="H20" s="7">
        <f>IF(ISBLANK(G20), "⏳ Chờ đáp án", IF(UPPER(TRIM(G20))="C", "✅ Đúng", "❌ Sai"))</f>
        <v/>
      </c>
      <c r="I20" s="14" t="n"/>
      <c r="J20" s="7">
        <f>IF(ISBLANK(I20), "", IF(UPPER(TRIM(I20))="C", "✅ Đúng", "❌ Sai"))</f>
        <v/>
      </c>
      <c r="K20" s="14" t="n"/>
      <c r="L20" s="7">
        <f>IF(ISBLANK(K20), "", IF(UPPER(TRIM(K20))="C", "✅ Đúng", "❌ Sai"))</f>
        <v/>
      </c>
      <c r="M20" s="7">
        <f>COUNTIF(H20, "❌ Sai") + COUNTIF(J20, "❌ Sai") + COUNTIF(L20, "❌ Sai")</f>
        <v/>
      </c>
      <c r="N20" s="7">
        <f>IF(ISBLANK(G20), "⏳ Chờ làm", IF(H20="✅ Đúng", "✅ Đúng ngay L1", IF(J20="✅ Đúng", "✅ Đúng ở L2", IF(L20="✅ Đúng", "✅ Đúng ở L3", "❌ Chưa đúng sau 3 lần"))))</f>
        <v/>
      </c>
      <c r="O20" s="13">
        <f>IF(ISBLANK(F20), "💡 Nhập đáp án vào Lần thử 1", IF(G20="✅ Đúng", "✨ Xuất sắc! Bạn đã làm đúng.", "💡 Gợi ý: " &amp; "Xác định mệnh đề phụ thuộc và chọn đại từ quan hệ phù hợp với danh từ chỉ người/vật đứng trước."))</f>
        <v/>
      </c>
      <c r="P20" s="5">
        <f>IF(ISBLANK(G20), "💡 Nhập đáp án vào Lần thử 1", IF(OR(H20="✅ Đúng", J20="✅ Đúng", L20="✅ Đúng"), "✨ Xuất sắc! Bạn đã làm đúng.", IF(NOT(ISBLANK(K20)), "💡 Gợi ý Tầng 3 (Chốt phương pháp): " &amp; "Loại bỏ các đại từ quan hệ không phù hợp; chọn cấu trúc ngữ pháp chuẩn xác.", IF(NOT(ISBLANK(I20)), "💡 Gợi ý Tầng 2 (Manh mối cấu trúc &amp; Loại trừ): " &amp; "Kiểm tra xem động từ trong mệnh đề quan hệ chia ở số ít hay số nhiều dựa vào danh từ trung tâm.", "💡 Gợi ý Tầng 1 (Định hướng bối cảnh): " &amp; "Xác định mệnh đề quan hệ bổ nghĩa cho danh từ chỉ vật hay chỉ người đứng trước."))))</f>
        <v/>
      </c>
      <c r="Q20" s="5">
        <f>IF(OR(H20="✅ Đúng", J20="✅ Đúng", L20="✅ Đúng"), "Dùng 'that' không dấu phẩy cho mệnh đề quan hệ giới hạn.", "🔒 Trả lời đúng để mở khóa Strategic Tip!")</f>
        <v/>
      </c>
    </row>
    <row r="21" ht="15.75" customHeight="1" s="19">
      <c r="A21" s="7" t="inlineStr">
        <is>
          <t>M17</t>
        </is>
      </c>
      <c r="B21" s="7" t="inlineStr">
        <is>
          <t>Reading &amp; Writing Module 1</t>
        </is>
      </c>
      <c r="C21" s="5" t="inlineStr">
        <is>
          <t>Standard English Conventions (Verb Tense &amp; Progress)</t>
        </is>
      </c>
      <c r="D21" s="5" t="inlineStr">
        <is>
          <t>Nanoengineers have developed synthesized mesoporous silica nanoparticles that are used to transport genes and medicines to specific cells in the body. As nanotechnology evolves, medical technology ______ to evolve as well.</t>
        </is>
      </c>
      <c r="E21" s="5" t="inlineStr">
        <is>
          <t>Which choice completes the text so that it conforms to the conventions of Standard English?</t>
        </is>
      </c>
      <c r="F21" s="5" t="inlineStr">
        <is>
          <t>A. Lựa chọn A
B. Lựa chọn B
C. Lựa chọn C
D. Lựa chọn D</t>
        </is>
      </c>
      <c r="G21" s="14" t="n"/>
      <c r="H21" s="7">
        <f>IF(ISBLANK(G21), "⏳ Chờ đáp án", IF(UPPER(TRIM(G21))="D", "✅ Đúng", "❌ Sai"))</f>
        <v/>
      </c>
      <c r="I21" s="14" t="n"/>
      <c r="J21" s="7">
        <f>IF(ISBLANK(I21), "", IF(UPPER(TRIM(I21))="D", "✅ Đúng", "❌ Sai"))</f>
        <v/>
      </c>
      <c r="K21" s="14" t="n"/>
      <c r="L21" s="7">
        <f>IF(ISBLANK(K21), "", IF(UPPER(TRIM(K21))="D", "✅ Đúng", "❌ Sai"))</f>
        <v/>
      </c>
      <c r="M21" s="7">
        <f>COUNTIF(H21, "❌ Sai") + COUNTIF(J21, "❌ Sai") + COUNTIF(L21, "❌ Sai")</f>
        <v/>
      </c>
      <c r="N21" s="7">
        <f>IF(ISBLANK(G21), "⏳ Chờ làm", IF(H21="✅ Đúng", "✅ Đúng ngay L1", IF(J21="✅ Đúng", "✅ Đúng ở L2", IF(L21="✅ Đúng", "✅ Đúng ở L3", "❌ Chưa đúng sau 3 lần"))))</f>
        <v/>
      </c>
      <c r="O21" s="13">
        <f>IF(ISBLANK(F21), "💡 Nhập đáp án vào Lần thử 1", IF(G21="✅ Đúng", "✨ Xuất sắc! Bạn đã làm đúng.", "💡 Gợi ý: " &amp; "Xác định mốc thời gian trong câu và đảm bảo thì của động từ đồng bộ với các động từ khác."))</f>
        <v/>
      </c>
      <c r="P21" s="5">
        <f>IF(ISBLANK(G21), "💡 Nhập đáp án vào Lần thử 1", IF(OR(H21="✅ Đúng", J21="✅ Đúng", L21="✅ Đúng"), "✨ Xuất sắc! Bạn đã làm đúng.", IF(NOT(ISBLANK(K21)), "💡 Gợi ý Tầng 3 (Chốt phương pháp): " &amp; "Chọn dạng động từ thể hiện sự tiếp diễn hoặc hoàn thành phù hợp với bối cảnh.", IF(NOT(ISBLANK(I21)), "💡 Gợi ý Tầng 2 (Manh mối cấu trúc &amp; Loại trừ): " &amp; "Đối chiếu thì của các động từ xung quanh để bảo đảm tính nhất quán về thời gian.", "💡 Gợi ý Tầng 1 (Định hướng bối cảnh): " &amp; "Xác định mốc thời gian và tính liên tục của hành động trong bài đọc."))))</f>
        <v/>
      </c>
      <c r="Q21" s="5">
        <f>IF(OR(H21="✅ Đúng", J21="✅ Đúng", L21="✅ Đúng"), "Sự tương thích thì: As [Present], [Future].", "🔒 Trả lời đúng để mở khóa Strategic Tip!")</f>
        <v/>
      </c>
    </row>
    <row r="22" ht="15.75" customHeight="1" s="19">
      <c r="A22" s="7" t="inlineStr">
        <is>
          <t>M18</t>
        </is>
      </c>
      <c r="B22" s="7" t="inlineStr">
        <is>
          <t>Reading &amp; Writing Module 1</t>
        </is>
      </c>
      <c r="C22" s="5" t="inlineStr">
        <is>
          <t>Standard English Conventions (Punctuation / Dashes)</t>
        </is>
      </c>
      <c r="D22" s="5" t="inlineStr">
        <is>
          <t>To more easily balance the weight of her body on her toes while performing the demanding pointe work that became increasingly common in early 20th-century ballet, internationally known ballerina Anna Pavlova redesigned her pointe shoes. The modifications she made—adding a stiffened leather sole and hardened toe ______ began the modernization of ballet’s iconic footwear.</t>
        </is>
      </c>
      <c r="E22" s="5" t="inlineStr">
        <is>
          <t>Which choice completes the text so that it conforms to the conventions of Standard English?</t>
        </is>
      </c>
      <c r="F22" s="5" t="inlineStr">
        <is>
          <t>A. Lựa chọn A
B. Lựa chọn B
C. Lựa chọn C
D. Lựa chọn D</t>
        </is>
      </c>
      <c r="G22" s="14" t="n"/>
      <c r="H22" s="7">
        <f>IF(ISBLANK(G22), "⏳ Chờ đáp án", IF(UPPER(TRIM(G22))="B", "✅ Đúng", "❌ Sai"))</f>
        <v/>
      </c>
      <c r="I22" s="14" t="n"/>
      <c r="J22" s="7">
        <f>IF(ISBLANK(I22), "", IF(UPPER(TRIM(I22))="B", "✅ Đúng", "❌ Sai"))</f>
        <v/>
      </c>
      <c r="K22" s="14" t="n"/>
      <c r="L22" s="7">
        <f>IF(ISBLANK(K22), "", IF(UPPER(TRIM(K22))="B", "✅ Đúng", "❌ Sai"))</f>
        <v/>
      </c>
      <c r="M22" s="7">
        <f>COUNTIF(H22, "❌ Sai") + COUNTIF(J22, "❌ Sai") + COUNTIF(L22, "❌ Sai")</f>
        <v/>
      </c>
      <c r="N22" s="7">
        <f>IF(ISBLANK(G22), "⏳ Chờ làm", IF(H22="✅ Đúng", "✅ Đúng ngay L1", IF(J22="✅ Đúng", "✅ Đúng ở L2", IF(L22="✅ Đúng", "✅ Đúng ở L3", "❌ Chưa đúng sau 3 lần"))))</f>
        <v/>
      </c>
      <c r="O22" s="13">
        <f>IF(ISBLANK(F22), "💡 Nhập đáp án vào Lần thử 1", IF(G22="✅ Đúng", "✨ Xuất sắc! Bạn đã làm đúng.", "💡 Gợi ý: " &amp; "Xác định thành phần bổ sung không thiết yếu (non-essential clause) để dùng cặp dấu phân cách tương ứng."))</f>
        <v/>
      </c>
      <c r="P22" s="5">
        <f>IF(ISBLANK(G22), "💡 Nhập đáp án vào Lần thử 1", IF(OR(H22="✅ Đúng", J22="✅ Đúng", L22="✅ Đúng"), "✨ Xuất sắc! Bạn đã làm đúng.", IF(NOT(ISBLANK(K22)), "💡 Gợi ý Tầng 3 (Chốt phương pháp): " &amp; "Loại bỏ các phương án dùng hỗn hợp dấu phẩy và gạch ngang không đồng bộ.", IF(NOT(ISBLANK(I22)), "💡 Gợi ý Tầng 2 (Manh mối cấu trúc &amp; Loại trừ): " &amp; "Nhớ quy tắc cặp dấu tương đương: nếu đã mở đầu bằng dấu gạch ngang thì phải đóng bằng dấu gạch ngang.", "💡 Gợi ý Tầng 1 (Định hướng bối cảnh): " &amp; "Xác định thành phần bổ sung không thiết yếu (non-essential clause) trong câu."))))</f>
        <v/>
      </c>
      <c r="Q22" s="5">
        <f>IF(OR(H22="✅ Đúng", J22="✅ Đúng", L22="✅ Đúng"), "Dấu gạch ngang đi theo cặp: — [thông tin bổ sung] —.", "🔒 Trả lời đúng để mở khóa Strategic Tip!")</f>
        <v/>
      </c>
    </row>
    <row r="23" ht="15.75" customHeight="1" s="19">
      <c r="A23" s="7" t="inlineStr">
        <is>
          <t>M19</t>
        </is>
      </c>
      <c r="B23" s="7" t="inlineStr">
        <is>
          <t>Reading &amp; Writing Module 1</t>
        </is>
      </c>
      <c r="C23" s="5" t="inlineStr">
        <is>
          <t>Standard English Conventions (Colons)</t>
        </is>
      </c>
      <c r="D23" s="5" t="inlineStr">
        <is>
          <t>Archaeological evidence indicates that board games have existed in human societies for at least five millennia, with examples discovered in the tombs of ancient Egypt and the ruins of Mesopotamia. The purpose of these ancient games was ______ provide entertainment during leisure time, to reflect cultural beliefs, and to develop strategic thinking skills among players.</t>
        </is>
      </c>
      <c r="E23" s="5" t="inlineStr">
        <is>
          <t>Which choice completes the text so that it conforms to the conventions of Standard English?</t>
        </is>
      </c>
      <c r="F23" s="5" t="inlineStr">
        <is>
          <t>A. Lựa chọn A
B. Lựa chọn B
C. Lựa chọn C
D. Lựa chọn D</t>
        </is>
      </c>
      <c r="G23" s="14" t="n"/>
      <c r="H23" s="7">
        <f>IF(ISBLANK(G23), "⏳ Chờ đáp án", IF(UPPER(TRIM(G23))="B", "✅ Đúng", "❌ Sai"))</f>
        <v/>
      </c>
      <c r="I23" s="14" t="n"/>
      <c r="J23" s="7">
        <f>IF(ISBLANK(I23), "", IF(UPPER(TRIM(I23))="B", "✅ Đúng", "❌ Sai"))</f>
        <v/>
      </c>
      <c r="K23" s="14" t="n"/>
      <c r="L23" s="7">
        <f>IF(ISBLANK(K23), "", IF(UPPER(TRIM(K23))="B", "✅ Đúng", "❌ Sai"))</f>
        <v/>
      </c>
      <c r="M23" s="7">
        <f>COUNTIF(H23, "❌ Sai") + COUNTIF(J23, "❌ Sai") + COUNTIF(L23, "❌ Sai")</f>
        <v/>
      </c>
      <c r="N23" s="7">
        <f>IF(ISBLANK(G23), "⏳ Chờ làm", IF(H23="✅ Đúng", "✅ Đúng ngay L1", IF(J23="✅ Đúng", "✅ Đúng ở L2", IF(L23="✅ Đúng", "✅ Đúng ở L3", "❌ Chưa đúng sau 3 lần"))))</f>
        <v/>
      </c>
      <c r="O23" s="13">
        <f>IF(ISBLANK(F23), "💡 Nhập đáp án vào Lần thử 1", IF(G23="✅ Đúng", "✨ Xuất sắc! Bạn đã làm đúng.", "💡 Gợi ý: " &amp; "Kiểm tra xem vế trước chỗ trống có phải là một mệnh đề độc lập hoàn chỉnh hay không trước khi dùng dấu hai chấm."))</f>
        <v/>
      </c>
      <c r="P23" s="5">
        <f>IF(ISBLANK(G23), "💡 Nhập đáp án vào Lần thử 1", IF(OR(H23="✅ Đúng", J23="✅ Đúng", L23="✅ Đúng"), "✨ Xuất sắc! Bạn đã làm đúng.", IF(NOT(ISBLANK(K23)), "💡 Gợi ý Tầng 3 (Chốt phương pháp): " &amp; "Loại bỏ phương án dùng dấu phẩy nối hai mệnh đề độc lập (lỗi comma splice).", IF(NOT(ISBLANK(I23)), "💡 Gợi ý Tầng 2 (Manh mối cấu trúc &amp; Loại trừ): " &amp; "Dấu hai chấm được dùng để giải thích hoặc chi tiết hóa nội dung đã nêu ở mệnh đề độc lập trước đó.", "💡 Gợi ý Tầng 1 (Định hướng bối cảnh): " &amp; "Kiểm tra xem vế trước vị trí cần điền có phải là một mệnh đề độc lập hoàn chỉnh hay không."))))</f>
        <v/>
      </c>
      <c r="Q23" s="5">
        <f>IF(OR(H23="✅ Đúng", J23="✅ Đúng", L23="✅ Đúng"), "Dấu hai chấm (:) báo hiệu danh sách giải thích phía sau.", "🔒 Trả lời đúng để mở khóa Strategic Tip!")</f>
        <v/>
      </c>
    </row>
    <row r="24" ht="15.75" customHeight="1" s="19">
      <c r="A24" s="7" t="inlineStr">
        <is>
          <t>M20</t>
        </is>
      </c>
      <c r="B24" s="7" t="inlineStr">
        <is>
          <t>Reading &amp; Writing Module 1</t>
        </is>
      </c>
      <c r="C24" s="5" t="inlineStr">
        <is>
          <t>Standard English Conventions (Semicolons &amp; Colons)</t>
        </is>
      </c>
      <c r="D24" s="5" t="inlineStr">
        <is>
          <t>Extensive radiocarbon dating of reed samples from Caral confirmed Ruth Shady Solís’s hypothesis about the Peruvian site’s ______ nearly 5,000 years ago, the ancient city preceded the Olmec civilization to the north by a full millennium, a revelation that fundamentally altered our understanding of urban development in the Western Hemisphere.</t>
        </is>
      </c>
      <c r="E24" s="5" t="inlineStr">
        <is>
          <t>Which choice completes the text so that it conforms to the conventions of Standard English?</t>
        </is>
      </c>
      <c r="F24" s="5" t="inlineStr">
        <is>
          <t>A. Lựa chọn A
B. Lựa chọn B
C. Lựa chọn C
D. Lựa chọn D</t>
        </is>
      </c>
      <c r="G24" s="14" t="n"/>
      <c r="H24" s="7">
        <f>IF(ISBLANK(G24), "⏳ Chờ đáp án", IF(UPPER(TRIM(G24))="B", "✅ Đúng", "❌ Sai"))</f>
        <v/>
      </c>
      <c r="I24" s="14" t="n"/>
      <c r="J24" s="7">
        <f>IF(ISBLANK(I24), "", IF(UPPER(TRIM(I24))="B", "✅ Đúng", "❌ Sai"))</f>
        <v/>
      </c>
      <c r="K24" s="14" t="n"/>
      <c r="L24" s="7">
        <f>IF(ISBLANK(K24), "", IF(UPPER(TRIM(K24))="B", "✅ Đúng", "❌ Sai"))</f>
        <v/>
      </c>
      <c r="M24" s="7">
        <f>COUNTIF(H24, "❌ Sai") + COUNTIF(J24, "❌ Sai") + COUNTIF(L24, "❌ Sai")</f>
        <v/>
      </c>
      <c r="N24" s="7">
        <f>IF(ISBLANK(G24), "⏳ Chờ làm", IF(H24="✅ Đúng", "✅ Đúng ngay L1", IF(J24="✅ Đúng", "✅ Đúng ở L2", IF(L24="✅ Đúng", "✅ Đúng ở L3", "❌ Chưa đúng sau 3 lần"))))</f>
        <v/>
      </c>
      <c r="O24" s="13">
        <f>IF(ISBLANK(F24), "💡 Nhập đáp án vào Lần thử 1", IF(G24="✅ Đúng", "✨ Xuất sắc! Bạn đã làm đúng.", "💡 Gợi ý: " &amp; "Phân tích mối quan hệ giữa hai mệnh đề độc lập để chọn dấu nối phù hợp (dấu chấm phẩy hoặc dấu chấm)."))</f>
        <v/>
      </c>
      <c r="P24" s="5">
        <f>IF(ISBLANK(G24), "💡 Nhập đáp án vào Lần thử 1", IF(OR(H24="✅ Đúng", J24="✅ Đúng", L24="✅ Đúng"), "✨ Xuất sắc! Bạn đã làm đúng.", IF(NOT(ISBLANK(K24)), "💡 Gợi ý Tầng 3 (Chốt phương pháp): " &amp; "Loại bỏ phương án chỉ dùng dấu phẩy đơn lẻ giữa hai mệnh đề độc lập.", IF(NOT(ISBLANK(I24)), "💡 Gợi ý Tầng 2 (Manh mối cấu trúc &amp; Loại trừ): " &amp; "Nếu hai mệnh đề độc lập không có liên từ FANBOYS thì phải dùng dấu chấm phẩy hoặc dấu chấm.", "💡 Gợi ý Tầng 1 (Định hướng bối cảnh): " &amp; "Phân tích mối quan hệ giữa hai mệnh đề độc lập đứng trước và sau vị trí khoảng trống."))))</f>
        <v/>
      </c>
      <c r="Q24" s="5">
        <f>IF(OR(H24="✅ Đúng", J24="✅ Đúng", L24="✅ Đúng"), "Dấu hai chấm nối 2 mệnh đề độc lập khi mệnh đề 2 giải thích cho mệnh đề 1.", "🔒 Trả lời đúng để mở khóa Strategic Tip!")</f>
        <v/>
      </c>
    </row>
    <row r="25" ht="15.75" customHeight="1" s="19">
      <c r="A25" s="7" t="inlineStr">
        <is>
          <t>M21</t>
        </is>
      </c>
      <c r="B25" s="7" t="inlineStr">
        <is>
          <t>Reading &amp; Writing Module 1</t>
        </is>
      </c>
      <c r="C25" s="5" t="inlineStr">
        <is>
          <t>Standard English Conventions (Subject-Verb Agreement)</t>
        </is>
      </c>
      <c r="D25" s="5" t="inlineStr">
        <is>
          <t>Chemists investigating the properties of coal tar in the mid-nineteenth century discovered compounds that led to the creation of vibrant artificial colorants. Commercial applications of this new synthetic dye technology—beginning with the purple dye called mauve, discovered by William Perkin in 1856—______ responsible for launching what one science historian calls a “manufacturing revolution based on chemistry.”</t>
        </is>
      </c>
      <c r="E25" s="5" t="inlineStr">
        <is>
          <t>Which choice completes the text so that it conforms to the conventions of Standard English?</t>
        </is>
      </c>
      <c r="F25" s="5" t="inlineStr">
        <is>
          <t>A. Lựa chọn A
B. Lựa chọn B
C. Lựa chọn C
D. Lựa chọn D</t>
        </is>
      </c>
      <c r="G25" s="14" t="n"/>
      <c r="H25" s="7">
        <f>IF(ISBLANK(G25), "⏳ Chờ đáp án", IF(UPPER(TRIM(G25))="C", "✅ Đúng", "❌ Sai"))</f>
        <v/>
      </c>
      <c r="I25" s="14" t="n"/>
      <c r="J25" s="7">
        <f>IF(ISBLANK(I25), "", IF(UPPER(TRIM(I25))="C", "✅ Đúng", "❌ Sai"))</f>
        <v/>
      </c>
      <c r="K25" s="14" t="n"/>
      <c r="L25" s="7">
        <f>IF(ISBLANK(K25), "", IF(UPPER(TRIM(K25))="C", "✅ Đúng", "❌ Sai"))</f>
        <v/>
      </c>
      <c r="M25" s="7">
        <f>COUNTIF(H25, "❌ Sai") + COUNTIF(J25, "❌ Sai") + COUNTIF(L25, "❌ Sai")</f>
        <v/>
      </c>
      <c r="N25" s="7">
        <f>IF(ISBLANK(G25), "⏳ Chờ làm", IF(H25="✅ Đúng", "✅ Đúng ngay L1", IF(J25="✅ Đúng", "✅ Đúng ở L2", IF(L25="✅ Đúng", "✅ Đúng ở L3", "❌ Chưa đúng sau 3 lần"))))</f>
        <v/>
      </c>
      <c r="O25" s="13">
        <f>IF(ISBLANK(F25), "💡 Nhập đáp án vào Lần thử 1", IF(G25="✅ Đúng", "✨ Xuất sắc! Bạn đã làm đúng.", "💡 Gợi ý: " &amp; "Xác định chính xác chủ ngữ chính của câu (loại bỏ các cụm giới từ nhiễu) để chia động từ số ít hay số nhiều."))</f>
        <v/>
      </c>
      <c r="P25" s="5">
        <f>IF(ISBLANK(G25), "💡 Nhập đáp án vào Lần thử 1", IF(OR(H25="✅ Đúng", J25="✅ Đúng", L25="✅ Đúng"), "✨ Xuất sắc! Bạn đã làm đúng.", IF(NOT(ISBLANK(K25)), "💡 Gợi ý Tầng 3 (Chốt phương pháp): " &amp; "Chọn dạng động từ hòa hợp chính xác về số với chủ ngữ trung tâm.", IF(NOT(ISBLANK(I25)), "💡 Gợi ý Tầng 2 (Manh mối cấu trúc &amp; Loại trừ): " &amp; "Kiểm tra xem chủ ngữ chính là danh từ số ít hay số nhiều.", "💡 Gợi ý Tầng 1 (Định hướng bối cảnh): " &amp; "Xác định chủ ngữ chính của câu bằng cách gạch bỏ các cụm giới từ nhiễu đứng giữa."))))</f>
        <v/>
      </c>
      <c r="Q25" s="5">
        <f>IF(OR(H25="✅ Đúng", J25="✅ Đúng", L25="✅ Đúng"), "Gạch bỏ thông tin xen giữa trong hai dấu gạch ngang để xác định chủ ngữ chính.", "🔒 Trả lời đúng để mở khóa Strategic Tip!")</f>
        <v/>
      </c>
    </row>
    <row r="26" ht="15.75" customHeight="1" s="19">
      <c r="A26" s="7" t="inlineStr">
        <is>
          <t>M22</t>
        </is>
      </c>
      <c r="B26" s="7" t="inlineStr">
        <is>
          <t>Reading &amp; Writing Module 1</t>
        </is>
      </c>
      <c r="C26" s="5" t="inlineStr">
        <is>
          <t>Transitions (Sequence &amp; Step)</t>
        </is>
      </c>
      <c r="D26" s="5" t="inlineStr">
        <is>
          <t>How does a clear evening become foggy? First, the ground releases heat, which radiates upward. This causes the air near the ground to cool. ______ tiny water droplets begin to form as the cooling air reaches its dew point and can no longer hold its moisture as invisible vapor. Finally, as more droplets accumulate, a visible layer of fog develops close to the ground.</t>
        </is>
      </c>
      <c r="E26" s="5" t="inlineStr">
        <is>
          <t>Which choice completes the text with the most logical transition?</t>
        </is>
      </c>
      <c r="F26" s="5" t="inlineStr">
        <is>
          <t>A. Lựa chọn A
B. Lựa chọn B
C. Lựa chọn C
D. Lựa chọn D</t>
        </is>
      </c>
      <c r="G26" s="14" t="n"/>
      <c r="H26" s="7">
        <f>IF(ISBLANK(G26), "⏳ Chờ đáp án", IF(UPPER(TRIM(G26))="D", "✅ Đúng", "❌ Sai"))</f>
        <v/>
      </c>
      <c r="I26" s="14" t="n"/>
      <c r="J26" s="7">
        <f>IF(ISBLANK(I26), "", IF(UPPER(TRIM(I26))="D", "✅ Đúng", "❌ Sai"))</f>
        <v/>
      </c>
      <c r="K26" s="14" t="n"/>
      <c r="L26" s="7">
        <f>IF(ISBLANK(K26), "", IF(UPPER(TRIM(K26))="D", "✅ Đúng", "❌ Sai"))</f>
        <v/>
      </c>
      <c r="M26" s="7">
        <f>COUNTIF(H26, "❌ Sai") + COUNTIF(J26, "❌ Sai") + COUNTIF(L26, "❌ Sai")</f>
        <v/>
      </c>
      <c r="N26" s="7">
        <f>IF(ISBLANK(G26), "⏳ Chờ làm", IF(H26="✅ Đúng", "✅ Đúng ngay L1", IF(J26="✅ Đúng", "✅ Đúng ở L2", IF(L26="✅ Đúng", "✅ Đúng ở L3", "❌ Chưa đúng sau 3 lần"))))</f>
        <v/>
      </c>
      <c r="O26" s="13">
        <f>IF(ISBLANK(F26), "💡 Nhập đáp án vào Lần thử 1", IF(G26="✅ Đúng", "✨ Xuất sắc! Bạn đã làm đúng.", "💡 Gợi ý: " &amp; "Xác định mối quan hệ logic giữa hai câu (nguyên nhân-kết quả, bổ sung, hay trình tự thời gian)."))</f>
        <v/>
      </c>
      <c r="P26" s="5">
        <f>IF(ISBLANK(G26), "💡 Nhập đáp án vào Lần thử 1", IF(OR(H26="✅ Đúng", J26="✅ Đúng", L26="✅ Đúng"), "✨ Xuất sắc! Bạn đã làm đúng.", IF(NOT(ISBLANK(K26)), "💡 Gợi ý Tầng 3 (Chốt phương pháp): " &amp; "Chọn từ nối thể hiện chính xác mối quan hệ trình tự/kết quả được thiết lập.", IF(NOT(ISBLANK(I26)), "💡 Gợi ý Tầng 2 (Manh mối cấu trúc &amp; Loại trừ): " &amp; "Xác định xem câu sau đưa ra kết quả, sự đối lập, hay bước tiếp theo trong trình tự.", "💡 Gợi ý Tầng 1 (Định hướng bối cảnh): " &amp; "Phân tích mối quan hệ logic giữa hai câu văn đứng trước và sau từ nối."))))</f>
        <v/>
      </c>
      <c r="Q26" s="5">
        <f>IF(OR(H26="✅ Đúng", J26="✅ Đúng", L26="✅ Đúng"), "Từ nối chỉ thứ tự các bước trong quy trình: Next.", "🔒 Trả lời đúng để mở khóa Strategic Tip!")</f>
        <v/>
      </c>
    </row>
    <row r="27" ht="15.75" customHeight="1" s="19">
      <c r="A27" s="7" t="inlineStr">
        <is>
          <t>M23</t>
        </is>
      </c>
      <c r="B27" s="7" t="inlineStr">
        <is>
          <t>Reading &amp; Writing Module 1</t>
        </is>
      </c>
      <c r="C27" s="5" t="inlineStr">
        <is>
          <t>Transitions (Elaboration &amp; Specifics)</t>
        </is>
      </c>
      <c r="D27" s="5" t="inlineStr">
        <is>
          <t>Scientists studying forest restoration have discovered that trees depend on complex partnerships with microscopic organisms for survival. The researchers found that special fungi called endophytes live inside tree leaves and serve as a defense mechanism. ______ these endophytes help by fighting off diseases and boosting the tree’s immune system.</t>
        </is>
      </c>
      <c r="E27" s="5" t="inlineStr">
        <is>
          <t>Which choice completes the text with the most logical transition?</t>
        </is>
      </c>
      <c r="F27" s="5" t="inlineStr">
        <is>
          <t>A. Lựa chọn A
B. Lựa chọn B
C. Lựa chọn C
D. Lựa chọn D</t>
        </is>
      </c>
      <c r="G27" s="14" t="n"/>
      <c r="H27" s="7">
        <f>IF(ISBLANK(G27), "⏳ Chờ đáp án", IF(UPPER(TRIM(G27))="D", "✅ Đúng", "❌ Sai"))</f>
        <v/>
      </c>
      <c r="I27" s="14" t="n"/>
      <c r="J27" s="7">
        <f>IF(ISBLANK(I27), "", IF(UPPER(TRIM(I27))="D", "✅ Đúng", "❌ Sai"))</f>
        <v/>
      </c>
      <c r="K27" s="14" t="n"/>
      <c r="L27" s="7">
        <f>IF(ISBLANK(K27), "", IF(UPPER(TRIM(K27))="D", "✅ Đúng", "❌ Sai"))</f>
        <v/>
      </c>
      <c r="M27" s="7">
        <f>COUNTIF(H27, "❌ Sai") + COUNTIF(J27, "❌ Sai") + COUNTIF(L27, "❌ Sai")</f>
        <v/>
      </c>
      <c r="N27" s="7">
        <f>IF(ISBLANK(G27), "⏳ Chờ làm", IF(H27="✅ Đúng", "✅ Đúng ngay L1", IF(J27="✅ Đúng", "✅ Đúng ở L2", IF(L27="✅ Đúng", "✅ Đúng ở L3", "❌ Chưa đúng sau 3 lần"))))</f>
        <v/>
      </c>
      <c r="O27" s="13">
        <f>IF(ISBLANK(F27), "💡 Nhập đáp án vào Lần thử 1", IF(G27="✅ Đúng", "✨ Xuất sắc! Bạn đã làm đúng.", "💡 Gợi ý: " &amp; "Xác định xem câu sau đang giải thích chi tiết hơn hay đưa ra ví dụ minh họa cho câu trước."))</f>
        <v/>
      </c>
      <c r="P27" s="5">
        <f>IF(ISBLANK(G27), "💡 Nhập đáp án vào Lần thử 1", IF(OR(H27="✅ Đúng", J27="✅ Đúng", L27="✅ Đúng"), "✨ Xuất sắc! Bạn đã làm đúng.", IF(NOT(ISBLANK(K27)), "💡 Gợi ý Tầng 3 (Chốt phương pháp): " &amp; "Chọn từ nối mang nghĩa cụ thể hóa, minh họa hoặc diễn giải thêm.", IF(NOT(ISBLANK(I27)), "💡 Gợi ý Tầng 2 (Manh mối cấu trúc &amp; Loại trừ): " &amp; "Câu sau đưa ra thông tin chi tiết hoặc ví dụ cụ thể để làm rõ hơn cho nhận định trước.", "💡 Gợi ý Tầng 1 (Định hướng bối cảnh): " &amp; "Xác định vai trò của câu sau đối với ý tưởng tổng quát đã phát biểu ở câu trước."))))</f>
        <v/>
      </c>
      <c r="Q27" s="5">
        <f>IF(OR(H27="✅ Đúng", J27="✅ Đúng", L27="✅ Đúng"), "Specifically = đi vào chi tiết minh họa cụ thể.", "🔒 Trả lời đúng để mở khóa Strategic Tip!")</f>
        <v/>
      </c>
    </row>
    <row r="28" ht="15.75" customHeight="1" s="19">
      <c r="A28" s="7" t="inlineStr">
        <is>
          <t>M24</t>
        </is>
      </c>
      <c r="B28" s="7" t="inlineStr">
        <is>
          <t>Reading &amp; Writing Module 1</t>
        </is>
      </c>
      <c r="C28" s="5" t="inlineStr">
        <is>
          <t>Rhetorical Synthesis / Student Notes</t>
        </is>
      </c>
      <c r="D28" s="5" t="inlineStr">
        <is>
          <t>While researching a topic, a student has taken the following notes:
• Pistol shrimp are small marine crustaceans that hunt using a specialized oversized claw.
• When the claw snaps shut rapidly, it pushes water through a narrow groove at extreme speeds.
• This high-speed water jet creates a bubble that pops forcefully near the shrimp’s prey.
• The popping bubble generates shock waves powerful enough to stun small fish.</t>
        </is>
      </c>
      <c r="E28" s="5" t="inlineStr">
        <is>
          <t>The student wants to introduce pistol shrimp to an audience unfamiliar with these crustaceans. Which choice most effectively uses relevant information from the notes to accomplish this goal?</t>
        </is>
      </c>
      <c r="F28" s="5" t="inlineStr">
        <is>
          <t>A. Lựa chọn A
B. Lựa chọn B
C. Lựa chọn C
D. Lựa chọn D</t>
        </is>
      </c>
      <c r="G28" s="14" t="n"/>
      <c r="H28" s="7">
        <f>IF(ISBLANK(G28), "⏳ Chờ đáp án", IF(UPPER(TRIM(G28))="B", "✅ Đúng", "❌ Sai"))</f>
        <v/>
      </c>
      <c r="I28" s="14" t="n"/>
      <c r="J28" s="7">
        <f>IF(ISBLANK(I28), "", IF(UPPER(TRIM(I28))="B", "✅ Đúng", "❌ Sai"))</f>
        <v/>
      </c>
      <c r="K28" s="14" t="n"/>
      <c r="L28" s="7">
        <f>IF(ISBLANK(K28), "", IF(UPPER(TRIM(K28))="B", "✅ Đúng", "❌ Sai"))</f>
        <v/>
      </c>
      <c r="M28" s="7">
        <f>COUNTIF(H28, "❌ Sai") + COUNTIF(J28, "❌ Sai") + COUNTIF(L28, "❌ Sai")</f>
        <v/>
      </c>
      <c r="N28" s="7">
        <f>IF(ISBLANK(G28), "⏳ Chờ làm", IF(H28="✅ Đúng", "✅ Đúng ngay L1", IF(J28="✅ Đúng", "✅ Đúng ở L2", IF(L28="✅ Đúng", "✅ Đúng ở L3", "❌ Chưa đúng sau 3 lần"))))</f>
        <v/>
      </c>
      <c r="O28" s="13">
        <f>IF(ISBLANK(F28), "💡 Nhập đáp án vào Lần thử 1", IF(G28="✅ Đúng", "✨ Xuất sắc! Bạn đã làm đúng.", "💡 Gợi ý: " &amp; "Đọc kỹ yêu cầu của đề bài (Goal/Target) để chọn ghi chú đáp ứng chính xác mục tiêu đó."))</f>
        <v/>
      </c>
      <c r="P28" s="5">
        <f>IF(ISBLANK(G28), "💡 Nhập đáp án vào Lần thử 1", IF(OR(H28="✅ Đúng", J28="✅ Đúng", L28="✅ Đúng"), "✨ Xuất sắc! Bạn đã làm đúng.", IF(NOT(ISBLANK(K28)), "💡 Gợi ý Tầng 3 (Chốt phương pháp): " &amp; "Chọn câu tổng hợp trực tiếp đáp ứng đúng mục tiêu đề bài mà không thừa thông tin ngoài.", IF(NOT(ISBLANK(I28)), "💡 Gợi ý Tầng 2 (Manh mối cấu trúc &amp; Loại trừ): " &amp; "So sánh các ghi chú với mục tiêu được chỉ định trong yêu cầu.", "💡 Gợi ý Tầng 1 (Định hướng bối cảnh): " &amp; "Đọc kỹ yêu cầu đề bài (Goal) để biết thông tin nào cần được ưu tiên làm nổi bật."))))</f>
        <v/>
      </c>
      <c r="Q28" s="5">
        <f>IF(OR(H28="✅ Đúng", J28="✅ Đúng", L28="✅ Đúng"), "Giới thiệu đối tượng mới = Nêu tên đối tượng + Định nghĩa/Đặc điểm nhận diện chính.", "🔒 Trả lời đúng để mở khóa Strategic Tip!")</f>
        <v/>
      </c>
    </row>
    <row r="29" ht="15.75" customHeight="1" s="19">
      <c r="A29" s="7" t="inlineStr">
        <is>
          <t>M25</t>
        </is>
      </c>
      <c r="B29" s="7" t="inlineStr">
        <is>
          <t>Reading &amp; Writing Module 1</t>
        </is>
      </c>
      <c r="C29" s="5" t="inlineStr">
        <is>
          <t>Rhetorical Synthesis / Student Notes</t>
        </is>
      </c>
      <c r="D29" s="5" t="inlineStr">
        <is>
          <t>While researching a topic, a student has taken the following notes:
• Elizabeth Catlett (1915–2012) was a celebrated African American artist.
• She is best known for creating sculptures and prints that explore the Black experience.
• Standing Mother and Child is a 1980 sculpture by Catlett.
• New Generation is a 1992 print by Catlett.</t>
        </is>
      </c>
      <c r="E29" s="5" t="inlineStr">
        <is>
          <t>The student wants to provide an example of one of Catlett’s sculptures. Which choice most effectively uses relevant information from the notes to accomplish this goal?</t>
        </is>
      </c>
      <c r="F29" s="5" t="inlineStr">
        <is>
          <t>A. Lựa chọn A
B. Lựa chọn B
C. Lựa chọn C
D. Lựa chọn D</t>
        </is>
      </c>
      <c r="G29" s="14" t="n"/>
      <c r="H29" s="7">
        <f>IF(ISBLANK(G29), "⏳ Chờ đáp án", IF(UPPER(TRIM(G29))="B", "✅ Đúng", "❌ Sai"))</f>
        <v/>
      </c>
      <c r="I29" s="14" t="n"/>
      <c r="J29" s="7">
        <f>IF(ISBLANK(I29), "", IF(UPPER(TRIM(I29))="B", "✅ Đúng", "❌ Sai"))</f>
        <v/>
      </c>
      <c r="K29" s="14" t="n"/>
      <c r="L29" s="7">
        <f>IF(ISBLANK(K29), "", IF(UPPER(TRIM(K29))="B", "✅ Đúng", "❌ Sai"))</f>
        <v/>
      </c>
      <c r="M29" s="7">
        <f>COUNTIF(H29, "❌ Sai") + COUNTIF(J29, "❌ Sai") + COUNTIF(L29, "❌ Sai")</f>
        <v/>
      </c>
      <c r="N29" s="7">
        <f>IF(ISBLANK(G29), "⏳ Chờ làm", IF(H29="✅ Đúng", "✅ Đúng ngay L1", IF(J29="✅ Đúng", "✅ Đúng ở L2", IF(L29="✅ Đúng", "✅ Đúng ở L3", "❌ Chưa đúng sau 3 lần"))))</f>
        <v/>
      </c>
      <c r="O29" s="13">
        <f>IF(ISBLANK(F29), "💡 Nhập đáp án vào Lần thử 1", IF(G29="✅ Đúng", "✨ Xuất sắc! Bạn đã làm đúng.", "💡 Gợi ý: " &amp; "Tập trung vào từ khóa chỉ đối tượng hoặc khía cạnh cụ thể mà đề bài yêu cầu người học nhấn mạnh."))</f>
        <v/>
      </c>
      <c r="P29" s="5">
        <f>IF(ISBLANK(G29), "💡 Nhập đáp án vào Lần thử 1", IF(OR(H29="✅ Đúng", J29="✅ Đúng", L29="✅ Đúng"), "✨ Xuất sắc! Bạn đã làm đúng.", IF(NOT(ISBLANK(K29)), "💡 Gợi ý Tầng 3 (Chốt phương pháp): " &amp; "Chọn câu diễn đạt ngắn gọn, tập trung vào điểm nhấn được đề bài yêu cầu.", IF(NOT(ISBLANK(I29)), "💡 Gợi ý Tầng 2 (Manh mối cấu trúc &amp; Loại trừ): " &amp; "Lọc các ghi chú liên quan đến đối tượng hoặc sự kiện được chỉ định.", "💡 Gợi ý Tầng 1 (Định hướng bối cảnh): " &amp; "Xác định khía cạnh cụ thể mà đề bài yêu cầu người học phải nhấn mạnh từ ghi chú."))))</f>
        <v/>
      </c>
      <c r="Q29" s="5">
        <f>IF(OR(H29="✅ Đúng", J29="✅ Đúng", L29="✅ Đúng"), "Đọc kĩ yêu cầu cụ thể của đề bài: 'example of one of Catlett's sculptures'.", "🔒 Trả lời đúng để mở khóa Strategic Tip!")</f>
        <v/>
      </c>
    </row>
    <row r="30" ht="15.75" customHeight="1" s="19">
      <c r="A30" s="7" t="inlineStr">
        <is>
          <t>M26</t>
        </is>
      </c>
      <c r="B30" s="7" t="inlineStr">
        <is>
          <t>Reading &amp; Writing Module 1</t>
        </is>
      </c>
      <c r="C30" s="5" t="inlineStr">
        <is>
          <t>Rhetorical Synthesis / Student Notes</t>
        </is>
      </c>
      <c r="D30" s="5" t="inlineStr">
        <is>
          <t>While researching a topic, a student has taken the following notes:
• Chapantongo is a municipality in the state of Hidalgo, Mexico.
• Municipalities are governmental regions responsible for providing many public services to their residents.
• One service they provide is traffic control.
• Chapantongo’s population was 12,967 in 2020.
• Its population was 12,271 in 2010.
• Hidalgo is divided into 84 municipalities.</t>
        </is>
      </c>
      <c r="E30" s="5" t="inlineStr">
        <is>
          <t>The student wants to emphasize the 2020 population of Chapantongo. Which choice most effectively uses relevant information from the notes to accomplish this goal?</t>
        </is>
      </c>
      <c r="F30" s="5" t="inlineStr">
        <is>
          <t>A. Lựa chọn A
B. Lựa chọn B
C. Lựa chọn C
D. Lựa chọn D</t>
        </is>
      </c>
      <c r="G30" s="14" t="n"/>
      <c r="H30" s="7">
        <f>IF(ISBLANK(G30), "⏳ Chờ đáp án", IF(UPPER(TRIM(G30))="B", "✅ Đúng", "❌ Sai"))</f>
        <v/>
      </c>
      <c r="I30" s="14" t="n"/>
      <c r="J30" s="7">
        <f>IF(ISBLANK(I30), "", IF(UPPER(TRIM(I30))="B", "✅ Đúng", "❌ Sai"))</f>
        <v/>
      </c>
      <c r="K30" s="14" t="n"/>
      <c r="L30" s="7">
        <f>IF(ISBLANK(K30), "", IF(UPPER(TRIM(K30))="B", "✅ Đúng", "❌ Sai"))</f>
        <v/>
      </c>
      <c r="M30" s="7">
        <f>COUNTIF(H30, "❌ Sai") + COUNTIF(J30, "❌ Sai") + COUNTIF(L30, "❌ Sai")</f>
        <v/>
      </c>
      <c r="N30" s="7">
        <f>IF(ISBLANK(G30), "⏳ Chờ làm", IF(H30="✅ Đúng", "✅ Đúng ngay L1", IF(J30="✅ Đúng", "✅ Đúng ở L2", IF(L30="✅ Đúng", "✅ Đúng ở L3", "❌ Chưa đúng sau 3 lần"))))</f>
        <v/>
      </c>
      <c r="O30" s="13">
        <f>IF(ISBLANK(F30), "💡 Nhập đáp án vào Lần thử 1", IF(G30="✅ Đúng", "✨ Xuất sắc! Bạn đã làm đúng.", "💡 Gợi ý: " &amp; "So sánh các lựa chọn với các thông tin trong ghi chú để chọn câu tổng hợp đầy đủ và chính xác nhất."))</f>
        <v/>
      </c>
      <c r="P30" s="5">
        <f>IF(ISBLANK(G30), "💡 Nhập đáp án vào Lần thử 1", IF(OR(H30="✅ Đúng", J30="✅ Đúng", L30="✅ Đúng"), "✨ Xuất sắc! Bạn đã làm đúng.", IF(NOT(ISBLANK(K30)), "💡 Gợi ý Tầng 3 (Chốt phương pháp): " &amp; "Chọn đáp án có cấu trúc song song, truyền tải chính xác mối quan hệ giữa các dữ kiện.", IF(NOT(ISBLANK(I30)), "💡 Gợi ý Tầng 2 (Manh mối cấu trúc &amp; Loại trừ): " &amp; "Đối chiếu thông tin trong các ghi chú để tìm câu kết hợp đầy đủ hai vế cần so sánh.", "💡 Gợi ý Tầng 1 (Định hướng bối cảnh): " &amp; "Xem xét mục tiêu bài viết (ví dụ: so sánh hai nghiên cứu hay giới thiệu một phát minh)."))))</f>
        <v/>
      </c>
      <c r="Q30" s="5">
        <f>IF(OR(H30="✅ Đúng", J30="✅ Đúng", L30="✅ Đúng"), "Đáp án phải chứa thông tin được yêu cầu làm trọng tâm: 2020 population = 12,967.", "🔒 Trả lời đúng để mở khóa Strategic Tip!")</f>
        <v/>
      </c>
    </row>
    <row r="31" ht="15.75" customHeight="1" s="19">
      <c r="A31" s="7" t="inlineStr">
        <is>
          <t>M27</t>
        </is>
      </c>
      <c r="B31" s="7" t="inlineStr">
        <is>
          <t>Reading &amp; Writing Module 1</t>
        </is>
      </c>
      <c r="C31" s="5" t="inlineStr">
        <is>
          <t>Rhetorical Synthesis / Student Notes</t>
        </is>
      </c>
      <c r="D31" s="5" t="inlineStr">
        <is>
          <t>While researching a topic, a student has taken the following notes:
• The Future of Nostalgia is a scholarly book by literary theorist Svetlana Boym.
• The book explores the concept of nostalgia from various angles.
• Chapter 8 explores nostalgia and Europe’s largest shopping mall.
• Chapter 17 discusses various skeptics’ takes on the concept of nostalgia.
• In chapter 17, Boym writes, “The poethics of nostalgia combines estrangement and human solidarity,
affect and reflection.”</t>
        </is>
      </c>
      <c r="E31" s="5" t="inlineStr">
        <is>
          <t>The student wants to explain what Svetlana Boym writes about in chapter 8. Which choice most effectively uses relevant information from the notes to accomplish this goal?</t>
        </is>
      </c>
      <c r="F31" s="5" t="inlineStr">
        <is>
          <t>A. Lựa chọn A
B. Lựa chọn B
C. Lựa chọn C
D. Lựa chọn D</t>
        </is>
      </c>
      <c r="G31" s="14" t="n"/>
      <c r="H31" s="7">
        <f>IF(ISBLANK(G31), "⏳ Chờ đáp án", IF(UPPER(TRIM(G31))="C", "✅ Đúng", "❌ Sai"))</f>
        <v/>
      </c>
      <c r="I31" s="14" t="n"/>
      <c r="J31" s="7">
        <f>IF(ISBLANK(I31), "", IF(UPPER(TRIM(I31))="C", "✅ Đúng", "❌ Sai"))</f>
        <v/>
      </c>
      <c r="K31" s="14" t="n"/>
      <c r="L31" s="7">
        <f>IF(ISBLANK(K31), "", IF(UPPER(TRIM(K31))="C", "✅ Đúng", "❌ Sai"))</f>
        <v/>
      </c>
      <c r="M31" s="7">
        <f>COUNTIF(H31, "❌ Sai") + COUNTIF(J31, "❌ Sai") + COUNTIF(L31, "❌ Sai")</f>
        <v/>
      </c>
      <c r="N31" s="7">
        <f>IF(ISBLANK(G31), "⏳ Chờ làm", IF(H31="✅ Đúng", "✅ Đúng ngay L1", IF(J31="✅ Đúng", "✅ Đúng ở L2", IF(L31="✅ Đúng", "✅ Đúng ở L3", "❌ Chưa đúng sau 3 lần"))))</f>
        <v/>
      </c>
      <c r="O31" s="13">
        <f>IF(ISBLANK(F31), "💡 Nhập đáp án vào Lần thử 1", IF(G31="✅ Đúng", "✨ Xuất sắc! Bạn đã làm đúng.", "💡 Gợi ý: " &amp; "Xác định mục tiêu đề bài (ví dụ: giới thiệu tác phẩm, so sánh hai nghiên cứu) để chọn ghi chú phù hợp."))</f>
        <v/>
      </c>
      <c r="P31" s="5">
        <f>IF(ISBLANK(G31), "💡 Nhập đáp án vào Lần thử 1", IF(OR(H31="✅ Đúng", J31="✅ Đúng", L31="✅ Đúng"), "✨ Xuất sắc! Bạn đã làm đúng.", IF(NOT(ISBLANK(K31)), "💡 Gợi ý Tầng 3 (Chốt phương pháp): " &amp; "Chọn câu liên kết các ghi chú một cách mượt mà và đúng trọng tâm đề bài.", IF(NOT(ISBLANK(I31)), "💡 Gợi ý Tầng 2 (Manh mối cấu trúc &amp; Loại trừ): " &amp; "Lựa chọn thông tin trong danh sách ghi chú trực tiếp phục vụ cho mục đích đó.", "💡 Gợi ý Tầng 1 (Định hướng bối cảnh): " &amp; "Đọc yêu cầu để xác định đối tượng khán giả hoặc mục đích của câu văn cần viết."))))</f>
        <v/>
      </c>
      <c r="Q31" s="5">
        <f>IF(OR(H31="✅ Đúng", J31="✅ Đúng", L31="✅ Đúng"), "Chỉ chọn phương án trả lời đúng mục tiêu 'explain what Boym writes in chapter 8'.", "🔒 Trả lời đúng để mở khóa Strategic Tip!")</f>
        <v/>
      </c>
    </row>
    <row r="32" ht="15.75" customHeight="1" s="19">
      <c r="A32" s="7" t="inlineStr">
        <is>
          <t>M28</t>
        </is>
      </c>
      <c r="B32" s="7" t="inlineStr">
        <is>
          <t>Reading &amp; Writing Module 2</t>
        </is>
      </c>
      <c r="C32" s="5" t="inlineStr">
        <is>
          <t>Vocabulary in Context (Interplay)</t>
        </is>
      </c>
      <c r="D32" s="5" t="inlineStr">
        <is>
          <t>Weather patterns, market trends, input costs, labor availability, equipment maintenance, and biological cycles are all variables that farmers must consider separately and in terms of how they may affect each other, and it is this ______ of factors in particular that makes successful farm management so challenging.</t>
        </is>
      </c>
      <c r="E32" s="5" t="inlineStr">
        <is>
          <t>Which choice completes the text with the most logical and precise word or phrase?</t>
        </is>
      </c>
      <c r="F32" s="5" t="inlineStr">
        <is>
          <t>A. Lựa chọn A
B. Lựa chọn B
C. Lựa chọn C
D. Lựa chọn D</t>
        </is>
      </c>
      <c r="G32" s="14" t="n"/>
      <c r="H32" s="7">
        <f>IF(ISBLANK(G32), "⏳ Chờ đáp án", IF(UPPER(TRIM(G32))="D", "✅ Đúng", "❌ Sai"))</f>
        <v/>
      </c>
      <c r="I32" s="14" t="n"/>
      <c r="J32" s="7">
        <f>IF(ISBLANK(I32), "", IF(UPPER(TRIM(I32))="D", "✅ Đúng", "❌ Sai"))</f>
        <v/>
      </c>
      <c r="K32" s="14" t="n"/>
      <c r="L32" s="7">
        <f>IF(ISBLANK(K32), "", IF(UPPER(TRIM(K32))="D", "✅ Đúng", "❌ Sai"))</f>
        <v/>
      </c>
      <c r="M32" s="7">
        <f>COUNTIF(H32, "❌ Sai") + COUNTIF(J32, "❌ Sai") + COUNTIF(L32, "❌ Sai")</f>
        <v/>
      </c>
      <c r="N32" s="7">
        <f>IF(ISBLANK(G32), "⏳ Chờ làm", IF(H32="✅ Đúng", "✅ Đúng ngay L1", IF(J32="✅ Đúng", "✅ Đúng ở L2", IF(L32="✅ Đúng", "✅ Đúng ở L3", "❌ Chưa đúng sau 3 lần"))))</f>
        <v/>
      </c>
      <c r="O32" s="13">
        <f>IF(ISBLANK(F32), "💡 Nhập đáp án vào Lần thử 1", IF(G32="✅ Đúng", "✨ Xuất sắc! Bạn đã làm đúng.", "💡 Gợi ý: " &amp; "Xem xét sự tác động qua lại giữa các yếu tố được nêu trong văn bản để chọn từ thể hiện mối quan hệ này."))</f>
        <v/>
      </c>
      <c r="P32" s="5">
        <f>IF(ISBLANK(G32), "💡 Nhập đáp án vào Lần thử 1", IF(OR(H32="✅ Đúng", J32="✅ Đúng", L32="✅ Đúng"), "✨ Xuất sắc! Bạn đã làm đúng.", IF(NOT(ISBLANK(K32)), "💡 Gợi ý Tầng 3 (Chốt phương pháp): " &amp; "Loại các từ chỉ sự tách biệt hay xung đột; chọn từ thể hiện mối quan hệ tương tác.", IF(NOT(ISBLANK(I32)), "💡 Gợi ý Tầng 2 (Manh mối cấu trúc &amp; Loại trừ): " &amp; "Cần một danh từ miêu tả sự tương tác hoặc ảnh hưởng lẫn nhau giữa các thành phần.", "💡 Gợi ý Tầng 1 (Định hướng bối cảnh): " &amp; "Xem xét sự tác động qua lại giữa hai yếu tố sinh học/môi trường được đề cập."))))</f>
        <v/>
      </c>
      <c r="Q32" s="5">
        <f>IF(OR(H32="✅ Đúng", J32="✅ Đúng", L32="✅ Đúng"), "Interplay = the way in which two or more things have an effect on each other.", "🔒 Trả lời đúng để mở khóa Strategic Tip!")</f>
        <v/>
      </c>
    </row>
    <row r="33" ht="15.75" customHeight="1" s="19">
      <c r="A33" s="7" t="inlineStr">
        <is>
          <t>M29</t>
        </is>
      </c>
      <c r="B33" s="7" t="inlineStr">
        <is>
          <t>Reading &amp; Writing Module 2</t>
        </is>
      </c>
      <c r="C33" s="5" t="inlineStr">
        <is>
          <t>Vocabulary in Context (Efficiency &amp; Output)</t>
        </is>
      </c>
      <c r="D33" s="5" t="inlineStr">
        <is>
          <t>To maximize ______, package distribution centers employ advanced scheduling systems and strategic staging areas that allow for goods received from warehouses to be immediately transferred to trucks for delivery to their final destinations. Some centers are so efficient that even the largest delivery trucks can be filled in a matter of minutes.</t>
        </is>
      </c>
      <c r="E33" s="5" t="inlineStr">
        <is>
          <t>Which choice completes the text with the most logical and precise word or phrase?</t>
        </is>
      </c>
      <c r="F33" s="5" t="inlineStr">
        <is>
          <t>A. Lựa chọn A
B. Lựa chọn B
C. Lựa chọn C
D. Lựa chọn D</t>
        </is>
      </c>
      <c r="G33" s="14" t="n"/>
      <c r="H33" s="7">
        <f>IF(ISBLANK(G33), "⏳ Chờ đáp án", IF(UPPER(TRIM(G33))="A", "✅ Đúng", "❌ Sai"))</f>
        <v/>
      </c>
      <c r="I33" s="14" t="n"/>
      <c r="J33" s="7">
        <f>IF(ISBLANK(I33), "", IF(UPPER(TRIM(I33))="A", "✅ Đúng", "❌ Sai"))</f>
        <v/>
      </c>
      <c r="K33" s="14" t="n"/>
      <c r="L33" s="7">
        <f>IF(ISBLANK(K33), "", IF(UPPER(TRIM(K33))="A", "✅ Đúng", "❌ Sai"))</f>
        <v/>
      </c>
      <c r="M33" s="7">
        <f>COUNTIF(H33, "❌ Sai") + COUNTIF(J33, "❌ Sai") + COUNTIF(L33, "❌ Sai")</f>
        <v/>
      </c>
      <c r="N33" s="7">
        <f>IF(ISBLANK(G33), "⏳ Chờ làm", IF(H33="✅ Đúng", "✅ Đúng ngay L1", IF(J33="✅ Đúng", "✅ Đúng ở L2", IF(L33="✅ Đúng", "✅ Đúng ở L3", "❌ Chưa đúng sau 3 lần"))))</f>
        <v/>
      </c>
      <c r="O33" s="13">
        <f>IF(ISBLANK(F33), "💡 Nhập đáp án vào Lần thử 1", IF(G33="✅ Đúng", "✨ Xuất sắc! Bạn đã làm đúng.", "💡 Gợi ý: " &amp; "Chú ý đến bối cảnh vận chuyển/xử lý hàng hóa và chọn từ thể hiện chỉ số đo lường hiệu suất tương ứng."))</f>
        <v/>
      </c>
      <c r="P33" s="5">
        <f>IF(ISBLANK(G33), "💡 Nhập đáp án vào Lần thử 1", IF(OR(H33="✅ Đúng", J33="✅ Đúng", L33="✅ Đúng"), "✨ Xuất sắc! Bạn đã làm đúng.", IF(NOT(ISBLANK(K33)), "💡 Gợi ý Tầng 3 (Chốt phương pháp): " &amp; "Loại bỏ từ chỉ khoảng cách hay chi phí; chọn từ miêu tả lưu lượng/năng suất thông qua.", IF(NOT(ISBLANK(I33)), "💡 Gợi ý Tầng 2 (Manh mối cấu trúc &amp; Loại trừ): " &amp; "Cần một danh từ chỉ khối lượng hoặc năng suất hàng hóa được xử lý trong một đơn vị thời gian.", "💡 Gợi ý Tầng 1 (Định hướng bối cảnh): " &amp; "Chú ý bối cảnh vận chuyển và xử lý hàng hóa qua hệ thống cảng/tuyến đường."))))</f>
        <v/>
      </c>
      <c r="Q33" s="5">
        <f>IF(OR(H33="✅ Đúng", J33="✅ Đúng", L33="✅ Đúng"), "Throughput = the amount of material or items passing through a system or process.", "🔒 Trả lời đúng để mở khóa Strategic Tip!")</f>
        <v/>
      </c>
    </row>
    <row r="34" ht="15.75" customHeight="1" s="19">
      <c r="A34" s="7" t="inlineStr">
        <is>
          <t>M30</t>
        </is>
      </c>
      <c r="B34" s="7" t="inlineStr">
        <is>
          <t>Reading &amp; Writing Module 2</t>
        </is>
      </c>
      <c r="C34" s="5" t="inlineStr">
        <is>
          <t>Vocabulary in Context (Parameters)</t>
        </is>
      </c>
      <c r="D34" s="5" t="inlineStr">
        <is>
          <t>Researchers have developed algorithms that take into account how various ______ influence production schedules, allowing rapid solution generation for manufacturing planning problems. The algorithms help identify efficient production schedules by processing those quantifiable inputs (e.g., demand patterns and capacity constraints) without exhaustively testing all possible scenarios.</t>
        </is>
      </c>
      <c r="E34" s="5" t="inlineStr">
        <is>
          <t>Which choice completes the text with the most logical and precise word or phrase?</t>
        </is>
      </c>
      <c r="F34" s="5" t="inlineStr">
        <is>
          <t>A. Lựa chọn A
B. Lựa chọn B
C. Lựa chọn C
D. Lựa chọn D</t>
        </is>
      </c>
      <c r="G34" s="14" t="n"/>
      <c r="H34" s="7">
        <f>IF(ISBLANK(G34), "⏳ Chờ đáp án", IF(UPPER(TRIM(G34))="C", "✅ Đúng", "❌ Sai"))</f>
        <v/>
      </c>
      <c r="I34" s="14" t="n"/>
      <c r="J34" s="7">
        <f>IF(ISBLANK(I34), "", IF(UPPER(TRIM(I34))="C", "✅ Đúng", "❌ Sai"))</f>
        <v/>
      </c>
      <c r="K34" s="14" t="n"/>
      <c r="L34" s="7">
        <f>IF(ISBLANK(K34), "", IF(UPPER(TRIM(K34))="C", "✅ Đúng", "❌ Sai"))</f>
        <v/>
      </c>
      <c r="M34" s="7">
        <f>COUNTIF(H34, "❌ Sai") + COUNTIF(J34, "❌ Sai") + COUNTIF(L34, "❌ Sai")</f>
        <v/>
      </c>
      <c r="N34" s="7">
        <f>IF(ISBLANK(G34), "⏳ Chờ làm", IF(H34="✅ Đúng", "✅ Đúng ngay L1", IF(J34="✅ Đúng", "✅ Đúng ở L2", IF(L34="✅ Đúng", "✅ Đúng ở L3", "❌ Chưa đúng sau 3 lần"))))</f>
        <v/>
      </c>
      <c r="O34" s="13">
        <f>IF(ISBLANK(F34), "💡 Nhập đáp án vào Lần thử 1", IF(G34="✅ Đúng", "✨ Xuất sắc! Bạn đã làm đúng.", "💡 Gợi ý: " &amp; "Xác định xem các thông số đầu vào được miêu tả mang tính chất định tính hay định lượng để chọn từ phù hợp."))</f>
        <v/>
      </c>
      <c r="P34" s="5">
        <f>IF(ISBLANK(G34), "💡 Nhập đáp án vào Lần thử 1", IF(OR(H34="✅ Đúng", J34="✅ Đúng", L34="✅ Đúng"), "✨ Xuất sắc! Bạn đã làm đúng.", IF(NOT(ISBLANK(K34)), "💡 Gợi ý Tầng 3 (Chốt phương pháp): " &amp; "Chọn từ chỉ các giới hạn/thông số định lượng; loại từ chỉ cảm xúc hay lý thuyết mơ hồ.", IF(NOT(ISBLANK(I34)), "💡 Gợi ý Tầng 2 (Manh mối cấu trúc &amp; Loại trừ): " &amp; "Các yếu tố này được đo lường bằng số liệu cụ thể chứ không phải nhận định cảm quan.", "💡 Gợi ý Tầng 1 (Định hướng bối cảnh): " &amp; "Xác định bản chất của các yếu tố đầu vào được sử dụng trong mô hình nghiên cứu."))))</f>
        <v/>
      </c>
      <c r="Q34" s="5">
        <f>IF(OR(H34="✅ Đúng", J34="✅ Đúng", L34="✅ Đúng"), "Parameters = numerical or other measurable factors forming sets that define a system.", "🔒 Trả lời đúng để mở khóa Strategic Tip!")</f>
        <v/>
      </c>
    </row>
    <row r="35" ht="15.75" customHeight="1" s="19">
      <c r="A35" s="7" t="inlineStr">
        <is>
          <t>M31</t>
        </is>
      </c>
      <c r="B35" s="7" t="inlineStr">
        <is>
          <t>Reading &amp; Writing Module 2</t>
        </is>
      </c>
      <c r="C35" s="5" t="inlineStr">
        <is>
          <t>Vocabulary in Context (Cautions &amp; Warnings)</t>
        </is>
      </c>
      <c r="D35" s="5" t="inlineStr">
        <is>
          <t>Marvel Girl’s ability to lift modest loads with her mind is illustrative of the lamentably lackluster powers bestowed on many female superheroes, but even those with more formidable powers have been subject to unflattering portrayals that often serve as ______: as the Phoenix, Jean Grey loses control of a cosmic force and destroys an entire planet, showing the corrupting influence of power.</t>
        </is>
      </c>
      <c r="E35" s="5" t="inlineStr">
        <is>
          <t>Which choice completes the text with the most logical and precise word or phrase?</t>
        </is>
      </c>
      <c r="F35" s="5" t="inlineStr">
        <is>
          <t>A. Lựa chọn A
B. Lựa chọn B
C. Lựa chọn C
D. Lựa chọn D</t>
        </is>
      </c>
      <c r="G35" s="14" t="n"/>
      <c r="H35" s="7">
        <f>IF(ISBLANK(G35), "⏳ Chờ đáp án", IF(UPPER(TRIM(G35))="B", "✅ Đúng", "❌ Sai"))</f>
        <v/>
      </c>
      <c r="I35" s="14" t="n"/>
      <c r="J35" s="7">
        <f>IF(ISBLANK(I35), "", IF(UPPER(TRIM(I35))="B", "✅ Đúng", "❌ Sai"))</f>
        <v/>
      </c>
      <c r="K35" s="14" t="n"/>
      <c r="L35" s="7">
        <f>IF(ISBLANK(K35), "", IF(UPPER(TRIM(K35))="B", "✅ Đúng", "❌ Sai"))</f>
        <v/>
      </c>
      <c r="M35" s="7">
        <f>COUNTIF(H35, "❌ Sai") + COUNTIF(J35, "❌ Sai") + COUNTIF(L35, "❌ Sai")</f>
        <v/>
      </c>
      <c r="N35" s="7">
        <f>IF(ISBLANK(G35), "⏳ Chờ làm", IF(H35="✅ Đúng", "✅ Đúng ngay L1", IF(J35="✅ Đúng", "✅ Đúng ở L2", IF(L35="✅ Đúng", "✅ Đúng ở L3", "❌ Chưa đúng sau 3 lần"))))</f>
        <v/>
      </c>
      <c r="O35" s="13">
        <f>IF(ISBLANK(F35), "💡 Nhập đáp án vào Lần thử 1", IF(G35="✅ Đúng", "✨ Xuất sắc! Bạn đã làm đúng.", "💡 Gợi ý: " &amp; "Đọc kỹ sắc thái câu văn để chọn từ mang tính nhắc nhở hoặc cảnh báo phù hợp với bối cảnh quyền lực."))</f>
        <v/>
      </c>
      <c r="P35" s="5">
        <f>IF(ISBLANK(G35), "💡 Nhập đáp án vào Lần thử 1", IF(OR(H35="✅ Đúng", J35="✅ Đúng", L35="✅ Đúng"), "✨ Xuất sắc! Bạn đã làm đúng.", IF(NOT(ISBLANK(K35)), "💡 Gợi ý Tầng 3 (Chốt phương pháp): " &amp; "Chọn từ thể hiện sự thận trọng/cảnh báo; loại các từ mang nghĩa khen ngợi hay khuyến khích.", IF(NOT(ISBLANK(I35)), "💡 Gợi ý Tầng 2 (Manh mối cấu trúc &amp; Loại trừ): " &amp; "Cần một danh từ mang nghĩa lời cảnh báo, nhắc nhở hoặc lưu ý trước rủi ro.", "💡 Gợi ý Tầng 1 (Định hướng bối cảnh): " &amp; "Đọc kỹ sắc thái câu văn khi bàn về sự nguy hiểm hoặc hậu quả của việc lạm dụng quyền lực."))))</f>
        <v/>
      </c>
      <c r="Q35" s="5">
        <f>IF(OR(H35="✅ Đúng", J35="✅ Đúng", L35="✅ Đúng"), "Admonitions = firm warnings or reprimands.", "🔒 Trả lời đúng để mở khóa Strategic Tip!")</f>
        <v/>
      </c>
    </row>
    <row r="36" ht="15.75" customHeight="1" s="19">
      <c r="A36" s="7" t="inlineStr">
        <is>
          <t>M32</t>
        </is>
      </c>
      <c r="B36" s="7" t="inlineStr">
        <is>
          <t>Reading &amp; Writing Module 2</t>
        </is>
      </c>
      <c r="C36" s="5" t="inlineStr">
        <is>
          <t>Sentence Function &amp; Text Structure</t>
        </is>
      </c>
      <c r="D36" s="5" t="inlineStr">
        <is>
          <t>Research on minor solar eruptions in magnetically quiet regions revealed an interesting pattern. Material expelled during these events follows a narrow arc trajectory back to the Sun’s surface. High-resolution images show these eruptions produce thin streams of hot gas moving at speeds between 55 and 200 kilometers per second. Although these are impressive speeds, they are not sufficient to overcome the confining forces of the Sun’s gravity and magnetic field, so the material is pulled back down.</t>
        </is>
      </c>
      <c r="E36" s="5" t="inlineStr">
        <is>
          <t>Which choice best describes the function of the underlined sentence in the text as a whole?</t>
        </is>
      </c>
      <c r="F36" s="5" t="inlineStr">
        <is>
          <t>A. Lựa chọn A
B. Lựa chọn B
C. Lựa chọn C
D. Lựa chọn D</t>
        </is>
      </c>
      <c r="G36" s="14" t="n"/>
      <c r="H36" s="7">
        <f>IF(ISBLANK(G36), "⏳ Chờ đáp án", IF(UPPER(TRIM(G36))="A", "✅ Đúng", "❌ Sai"))</f>
        <v/>
      </c>
      <c r="I36" s="14" t="n"/>
      <c r="J36" s="7">
        <f>IF(ISBLANK(I36), "", IF(UPPER(TRIM(I36))="A", "✅ Đúng", "❌ Sai"))</f>
        <v/>
      </c>
      <c r="K36" s="14" t="n"/>
      <c r="L36" s="7">
        <f>IF(ISBLANK(K36), "", IF(UPPER(TRIM(K36))="A", "✅ Đúng", "❌ Sai"))</f>
        <v/>
      </c>
      <c r="M36" s="7">
        <f>COUNTIF(H36, "❌ Sai") + COUNTIF(J36, "❌ Sai") + COUNTIF(L36, "❌ Sai")</f>
        <v/>
      </c>
      <c r="N36" s="7">
        <f>IF(ISBLANK(G36), "⏳ Chờ làm", IF(H36="✅ Đúng", "✅ Đúng ngay L1", IF(J36="✅ Đúng", "✅ Đúng ở L2", IF(L36="✅ Đúng", "✅ Đúng ở L3", "❌ Chưa đúng sau 3 lần"))))</f>
        <v/>
      </c>
      <c r="O36" s="13">
        <f>IF(ISBLANK(F36), "💡 Nhập đáp án vào Lần thử 1", IF(G36="✅ Đúng", "✨ Xuất sắc! Bạn đã làm đúng.", "💡 Gợi ý: " &amp; "Xác định vai trò của câu gạch chân trong việc liên kết ý trước và ý sau của đoạn văn."))</f>
        <v/>
      </c>
      <c r="P36" s="5">
        <f>IF(ISBLANK(G36), "💡 Nhập đáp án vào Lần thử 1", IF(OR(H36="✅ Đúng", J36="✅ Đúng", L36="✅ Đúng"), "✨ Xuất sắc! Bạn đã làm đúng.", IF(NOT(ISBLANK(K36)), "💡 Gợi ý Tầng 3 (Chốt phương pháp): " &amp; "Chọn đáp án miêu tả đúng vai trò liên kết logic giữa các phần của đoạn văn.", IF(NOT(ISBLANK(I36)), "💡 Gợi ý Tầng 2 (Manh mối cấu trúc &amp; Loại trừ): " &amp; "Phân tích xem câu gạch chân cung cấp bằng chứng, đặt ra giả thuyết hay đưa ra phản biện.", "💡 Gợi ý Tầng 1 (Định hướng bối cảnh): " &amp; "Xác định chức năng của câu gạch chân đối với lập luận toàn bài."))))</f>
        <v/>
      </c>
      <c r="Q36" s="5">
        <f>IF(OR(H36="✅ Đúng", J36="✅ Đúng", L36="✅ Đúng"), "Xác định vai trò tu từ: Trình bày hiện tượng dẫn tới kết quả theo sau.", "🔒 Trả lời đúng để mở khóa Strategic Tip!")</f>
        <v/>
      </c>
    </row>
    <row r="37" ht="15.75" customHeight="1" s="19">
      <c r="A37" s="7" t="inlineStr">
        <is>
          <t>M33</t>
        </is>
      </c>
      <c r="B37" s="7" t="inlineStr">
        <is>
          <t>Reading &amp; Writing Module 2</t>
        </is>
      </c>
      <c r="C37" s="5" t="inlineStr">
        <is>
          <t>Text Structure &amp; Overall Purpose</t>
        </is>
      </c>
      <c r="D37" s="5" t="inlineStr">
        <is>
          <t>With examples ranging from Dean’s Blue Hole in the Bahamas to Watling’s Blue Hole near San Salvador Island, blue holes are large underwater sinkholes: pits filled with dark blue water that contrasts with lighter blue shallower waters surrounding them. The formation of blue holes typically involves several natural processes, including the dissolution of limestone or other carbonate rocks. Currently, the deepest blue hole on record is the Taam Ja’ Blue Hole in Chetumal Bay, Mexico, which is reported by Laura Carrillo and colleagues as extending at least 420 meters below sea level.</t>
        </is>
      </c>
      <c r="E37" s="5" t="inlineStr">
        <is>
          <t>Which choice best describes the overall structure of the text?</t>
        </is>
      </c>
      <c r="F37" s="5" t="inlineStr">
        <is>
          <t>A. Lựa chọn A
B. Lựa chọn B
C. Lựa chọn C
D. Lựa chọn D</t>
        </is>
      </c>
      <c r="G37" s="14" t="n"/>
      <c r="H37" s="7">
        <f>IF(ISBLANK(G37), "⏳ Chờ đáp án", IF(UPPER(TRIM(G37))="D", "✅ Đúng", "❌ Sai"))</f>
        <v/>
      </c>
      <c r="I37" s="14" t="n"/>
      <c r="J37" s="7">
        <f>IF(ISBLANK(I37), "", IF(UPPER(TRIM(I37))="D", "✅ Đúng", "❌ Sai"))</f>
        <v/>
      </c>
      <c r="K37" s="14" t="n"/>
      <c r="L37" s="7">
        <f>IF(ISBLANK(K37), "", IF(UPPER(TRIM(K37))="D", "✅ Đúng", "❌ Sai"))</f>
        <v/>
      </c>
      <c r="M37" s="7">
        <f>COUNTIF(H37, "❌ Sai") + COUNTIF(J37, "❌ Sai") + COUNTIF(L37, "❌ Sai")</f>
        <v/>
      </c>
      <c r="N37" s="7">
        <f>IF(ISBLANK(G37), "⏳ Chờ làm", IF(H37="✅ Đúng", "✅ Đúng ngay L1", IF(J37="✅ Đúng", "✅ Đúng ở L2", IF(L37="✅ Đúng", "✅ Đúng ở L3", "❌ Chưa đúng sau 3 lần"))))</f>
        <v/>
      </c>
      <c r="O37" s="13">
        <f>IF(ISBLANK(F37), "💡 Nhập đáp án vào Lần thử 1", IF(G37="✅ Đúng", "✨ Xuất sắc! Bạn đã làm đúng.", "💡 Gợi ý: " &amp; "Phân tích bố cục bài đọc từ việc đặt vấn đề, đưa ra bằng chứng cho đến kết luận chung."))</f>
        <v/>
      </c>
      <c r="P37" s="5">
        <f>IF(ISBLANK(G37), "💡 Nhập đáp án vào Lần thử 1", IF(OR(H37="✅ Đúng", J37="✅ Đúng", L37="✅ Đúng"), "✨ Xuất sắc! Bạn đã làm đúng.", IF(NOT(ISBLANK(K37)), "💡 Gợi ý Tầng 3 (Chốt phương pháp): " &amp; "Mục đích chính là trình bày một phát hiện mới làm thay đổi hiểu biết trước đây.", IF(NOT(ISBLANK(I37)), "💡 Gợi ý Tầng 2 (Manh mối cấu trúc &amp; Loại trừ): " &amp; "Chú ý sự chuyển ý giữa quan điểm phổ biến và phát hiện mới của nghiên cứu.", "💡 Gợi ý Tầng 1 (Định hướng bối cảnh): " &amp; "Phân tích bố cục bài đọc từ việc nêu hiện tượng đến việc đưa ra lời giải thích."))))</f>
        <v/>
      </c>
      <c r="Q37" s="5">
        <f>IF(OR(H37="✅ Đúng", J37="✅ Đúng", L37="✅ Đúng"), "Mô hình cấu trúc: Define -&gt; Describe Formation -&gt; Provide Specific Landmark Example.", "🔒 Trả lời đúng để mở khóa Strategic Tip!")</f>
        <v/>
      </c>
    </row>
    <row r="38" ht="15.75" customHeight="1" s="19">
      <c r="A38" s="7" t="inlineStr">
        <is>
          <t>M34</t>
        </is>
      </c>
      <c r="B38" s="7" t="inlineStr">
        <is>
          <t>Reading &amp; Writing Module 2</t>
        </is>
      </c>
      <c r="C38" s="5" t="inlineStr">
        <is>
          <t>Cross-Text Comparison (Paired Passages)</t>
        </is>
      </c>
      <c r="D38" s="5" t="inlineStr">
        <is>
          <t>Text 1 is from George Eliot’s 1860 novel The Mill on the Floss. Text 2 is from Rabindranath Tagore’s 1921
nonfiction book Glimpses of Bengal.
Text 1
The wood I walk in on this mild May day, with the young yellow-brown foliage of the oaks between me and the blue sky, the white star-flowers and the blue-eyed speedwell and the ground ivy at my feet, what grove of tropic palms, what strange ferns or splendid broad-petalled blossoms, could ever thrill such deep and delicate fibres within me as this home scene?
Text 2
My feelings seem to be those of our ancient earth in the daily ecstasy of its sun-kissed life; my own consciousness seems to stream through each blade of grass, each sucking root, to rise with the sap through the trees, to break out with joyous thrills in the waving fields of corn, in the rustling palm leaves.</t>
        </is>
      </c>
      <c r="E38" s="5" t="inlineStr">
        <is>
          <t>Which choice best describes a notable difference in how the references to palm trees function in Text 1 and Text 2?</t>
        </is>
      </c>
      <c r="F38" s="5" t="inlineStr">
        <is>
          <t>A. Lựa chọn A
B. Lựa chọn B
C. Lựa chọn C
D. Lựa chọn D</t>
        </is>
      </c>
      <c r="G38" s="14" t="n"/>
      <c r="H38" s="7">
        <f>IF(ISBLANK(G38), "⏳ Chờ đáp án", IF(UPPER(TRIM(G38))="D", "✅ Đúng", "❌ Sai"))</f>
        <v/>
      </c>
      <c r="I38" s="14" t="n"/>
      <c r="J38" s="7">
        <f>IF(ISBLANK(I38), "", IF(UPPER(TRIM(I38))="D", "✅ Đúng", "❌ Sai"))</f>
        <v/>
      </c>
      <c r="K38" s="14" t="n"/>
      <c r="L38" s="7">
        <f>IF(ISBLANK(K38), "", IF(UPPER(TRIM(K38))="D", "✅ Đúng", "❌ Sai"))</f>
        <v/>
      </c>
      <c r="M38" s="7">
        <f>COUNTIF(H38, "❌ Sai") + COUNTIF(J38, "❌ Sai") + COUNTIF(L38, "❌ Sai")</f>
        <v/>
      </c>
      <c r="N38" s="7">
        <f>IF(ISBLANK(G38), "⏳ Chờ làm", IF(H38="✅ Đúng", "✅ Đúng ngay L1", IF(J38="✅ Đúng", "✅ Đúng ở L2", IF(L38="✅ Đúng", "✅ Đúng ở L3", "❌ Chưa đúng sau 3 lần"))))</f>
        <v/>
      </c>
      <c r="O38" s="13">
        <f>IF(ISBLANK(F38), "💡 Nhập đáp án vào Lần thử 1", IF(G38="✅ Đúng", "✨ Xuất sắc! Bạn đã làm đúng.", "💡 Gợi ý: " &amp; "So sánh quan điểm của hai tác giả về cùng một chủ đề để tìm ra điểm tương đồng hoặc khác biệt."))</f>
        <v/>
      </c>
      <c r="P38" s="5">
        <f>IF(ISBLANK(G38), "💡 Nhập đáp án vào Lần thử 1", IF(OR(H38="✅ Đúng", J38="✅ Đúng", L38="✅ Đúng"), "✨ Xuất sắc! Bạn đã làm đúng.", IF(NOT(ISBLANK(K38)), "💡 Gợi ý Tầng 3 (Chốt phương pháp): " &amp; "Chọn câu thể hiện chính xác thái độ phản biện hoặc bổ sung của Tác giả 2 đối với Tác giả 1.", IF(NOT(ISBLANK(I38)), "💡 Gợi ý Tầng 2 (Manh mối cấu trúc &amp; Loại trừ): " &amp; "Xác định điểm đồng thuận hoặc bất đồng cốt lõi giữa hai bài đọc.", "💡 Gợi ý Tầng 1 (Định hướng bối cảnh): " &amp; "So sánh góc nhìn của tác giả Đoạn 1 và tác giả Đoạn 2 về cùng một chủ đề."))))</f>
        <v/>
      </c>
      <c r="Q38" s="5">
        <f>IF(OR(H38="✅ Đúng", J38="✅ Đúng", L38="✅ Đúng"), "So sánh hai thái độ/góc nhìn của hai tác giả đối với cùng một hình ảnh.", "🔒 Trả lời đúng để mở khóa Strategic Tip!")</f>
        <v/>
      </c>
    </row>
    <row r="39" ht="15.75" customHeight="1" s="19">
      <c r="A39" s="7" t="inlineStr">
        <is>
          <t>M35</t>
        </is>
      </c>
      <c r="B39" s="7" t="inlineStr">
        <is>
          <t>Reading &amp; Writing Module 2</t>
        </is>
      </c>
      <c r="C39" s="5" t="inlineStr">
        <is>
          <t>Main Idea (Vernacular Riddles)</t>
        </is>
      </c>
      <c r="D39" s="5" t="inlineStr">
        <is>
          <t>Primarily encountered by modern readers as inert written texts, the vernacular riddles of early medieval England contain “implicit vestiges” of an interactive performance context, scholar Jill Frederick argues. Locative phrases (e.g., “here” and “now”) scattered throughout the riddles indicate the space shared by their speakers and audiences; the common refrain “say what I am called” invites a verbalized response; and the conflation of many of the riddles’ speakers with their solutions (typically animals, objects, or natural phenomena) suggests a form of dramatic impersonation perhaps meant to entertain during public gatherings.</t>
        </is>
      </c>
      <c r="E39" s="5" t="inlineStr">
        <is>
          <t>Which choice best states the main idea of the text?</t>
        </is>
      </c>
      <c r="F39" s="5" t="inlineStr">
        <is>
          <t>A. Lựa chọn A
B. Lựa chọn B
C. Lựa chọn C
D. Lựa chọn D</t>
        </is>
      </c>
      <c r="G39" s="14" t="n"/>
      <c r="H39" s="7">
        <f>IF(ISBLANK(G39), "⏳ Chờ đáp án", IF(UPPER(TRIM(G39))="B", "✅ Đúng", "❌ Sai"))</f>
        <v/>
      </c>
      <c r="I39" s="14" t="n"/>
      <c r="J39" s="7">
        <f>IF(ISBLANK(I39), "", IF(UPPER(TRIM(I39))="B", "✅ Đúng", "❌ Sai"))</f>
        <v/>
      </c>
      <c r="K39" s="14" t="n"/>
      <c r="L39" s="7">
        <f>IF(ISBLANK(K39), "", IF(UPPER(TRIM(K39))="B", "✅ Đúng", "❌ Sai"))</f>
        <v/>
      </c>
      <c r="M39" s="7">
        <f>COUNTIF(H39, "❌ Sai") + COUNTIF(J39, "❌ Sai") + COUNTIF(L39, "❌ Sai")</f>
        <v/>
      </c>
      <c r="N39" s="7">
        <f>IF(ISBLANK(G39), "⏳ Chờ làm", IF(H39="✅ Đúng", "✅ Đúng ngay L1", IF(J39="✅ Đúng", "✅ Đúng ở L2", IF(L39="✅ Đúng", "✅ Đúng ở L3", "❌ Chưa đúng sau 3 lần"))))</f>
        <v/>
      </c>
      <c r="O39" s="13">
        <f>IF(ISBLANK(F39), "💡 Nhập đáp án vào Lần thử 1", IF(G39="✅ Đúng", "✨ Xuất sắc! Bạn đã làm đúng.", "💡 Gợi ý: " &amp; "Tập trung vào ý tưởng chủ đạo xuyên suốt các câu thơ/đoạn văn thay vì các hình ảnh miêu tả chi tiết."))</f>
        <v/>
      </c>
      <c r="P39" s="5">
        <f>IF(ISBLANK(G39), "💡 Nhập đáp án vào Lần thử 1", IF(OR(H39="✅ Đúng", J39="✅ Đúng", L39="✅ Đúng"), "✨ Xuất sắc! Bạn đã làm đúng.", IF(NOT(ISBLANK(K39)), "💡 Gợi ý Tầng 3 (Chốt phương pháp): " &amp; "Loại bỏ các đáp án quá hẹp hoặc quá rộng; chọn câu tóm tắt chính xác luận điểm cốt lõi.", IF(NOT(ISBLANK(I39)), "💡 Gợi ý Tầng 2 (Manh mối cấu trúc &amp; Loại trừ): " &amp; "Xác định chủ đề trung tâm và thông điệp mà tác giả muốn gửi gắm.", "💡 Gợi ý Tầng 1 (Định hướng bối cảnh): " &amp; "Tập trung vào ý tưởng chủ đạo xuyên suốt các câu thơ/đoạn văn thay vì các chi tiết phụ."))))</f>
        <v/>
      </c>
      <c r="Q39" s="5">
        <f>IF(OR(H39="✅ Đúng", J39="✅ Đúng", L39="✅ Đúng"), "Main Point = Evidence of performance context vs. Modern passive reading.", "🔒 Trả lời đúng để mở khóa Strategic Tip!")</f>
        <v/>
      </c>
    </row>
    <row r="40" ht="15.75" customHeight="1" s="19">
      <c r="A40" s="7" t="inlineStr">
        <is>
          <t>M36</t>
        </is>
      </c>
      <c r="B40" s="7" t="inlineStr">
        <is>
          <t>Reading &amp; Writing Module 2</t>
        </is>
      </c>
      <c r="C40" s="5" t="inlineStr">
        <is>
          <t>Inference / Textual Evidence</t>
        </is>
      </c>
      <c r="D40" s="5" t="inlineStr">
        <is>
          <t>In the Mexican dialect of Spanish, the consonant s is pronounced with greater tension in the tongue than it is in Castilian, the dominant dialect in Spain, resulting in a sharper sound. Margarita Hidalgo, a linguist at San Diego State University, argues that Mexican Spanish acquired this pronunciation from Nahuatl, the language of the Nahua people in central Mexico: as the Spanish colonizers of Mexico incorporated Nahuatl words into their speech, and as more and more Nahuas spoke Spanish as a second language, the Nahuatl pronunciation of the s consonant replaced the Castilian pronunciation.</t>
        </is>
      </c>
      <c r="E40" s="5" t="inlineStr">
        <is>
          <t>Information in the text best supports which statement about the consonant s?</t>
        </is>
      </c>
      <c r="F40" s="5" t="inlineStr">
        <is>
          <t>A. Lựa chọn A
B. Lựa chọn B
C. Lựa chọn C
D. Lựa chọn D</t>
        </is>
      </c>
      <c r="G40" s="14" t="n"/>
      <c r="H40" s="7">
        <f>IF(ISBLANK(G40), "⏳ Chờ đáp án", IF(UPPER(TRIM(G40))="D", "✅ Đúng", "❌ Sai"))</f>
        <v/>
      </c>
      <c r="I40" s="14" t="n"/>
      <c r="J40" s="7">
        <f>IF(ISBLANK(I40), "", IF(UPPER(TRIM(I40))="D", "✅ Đúng", "❌ Sai"))</f>
        <v/>
      </c>
      <c r="K40" s="14" t="n"/>
      <c r="L40" s="7">
        <f>IF(ISBLANK(K40), "", IF(UPPER(TRIM(K40))="D", "✅ Đúng", "❌ Sai"))</f>
        <v/>
      </c>
      <c r="M40" s="7">
        <f>COUNTIF(H40, "❌ Sai") + COUNTIF(J40, "❌ Sai") + COUNTIF(L40, "❌ Sai")</f>
        <v/>
      </c>
      <c r="N40" s="7">
        <f>IF(ISBLANK(G40), "⏳ Chờ làm", IF(H40="✅ Đúng", "✅ Đúng ngay L1", IF(J40="✅ Đúng", "✅ Đúng ở L2", IF(L40="✅ Đúng", "✅ Đúng ở L3", "❌ Chưa đúng sau 3 lần"))))</f>
        <v/>
      </c>
      <c r="O40" s="13">
        <f>IF(ISBLANK(F40), "💡 Nhập đáp án vào Lần thử 1", IF(G40="✅ Đúng", "✨ Xuất sắc! Bạn đã làm đúng.", "💡 Gợi ý: " &amp; "Đối chiếu thông tin từ bài đọc với các lựa chọn để tìm suy luận có căn cứ trực tiếp."))</f>
        <v/>
      </c>
      <c r="P40" s="5">
        <f>IF(ISBLANK(G40), "💡 Nhập đáp án vào Lần thử 1", IF(OR(H40="✅ Đúng", J40="✅ Đúng", L40="✅ Đúng"), "✨ Xuất sắc! Bạn đã làm đúng.", IF(NOT(ISBLANK(K40)), "💡 Gợi ý Tầng 3 (Chốt phương pháp): " &amp; "Chọn đáp án dựa trên mối liên hệ logic trực tiếp từ các câu văn trong bài.", IF(NOT(ISBLANK(I40)), "💡 Gợi ý Tầng 2 (Manh mối cấu trúc &amp; Loại trừ): " &amp; "Loại bỏ các lựa chọn đưa ra giả định vượt quá thông tin được cung cấp.", "💡 Gợi ý Tầng 1 (Định hướng bối cảnh): " &amp; "Đối chiếu các dữ kiện trong bài đọc để tìm suy luận có căn cứ trực tiếp."))))</f>
        <v/>
      </c>
      <c r="Q40" s="5">
        <f>IF(OR(H40="✅ Đúng", J40="✅ Đúng", L40="✅ Đúng"), "Suy luận trực tiếp từ giả thuyết ảnh hưởng ngôn ngữ Nahuatl.", "🔒 Trả lời đúng để mở khóa Strategic Tip!")</f>
        <v/>
      </c>
    </row>
    <row r="41" ht="15.75" customHeight="1" s="19">
      <c r="A41" s="7" t="inlineStr">
        <is>
          <t>M37</t>
        </is>
      </c>
      <c r="B41" s="7" t="inlineStr">
        <is>
          <t>Reading &amp; Writing Module 2</t>
        </is>
      </c>
      <c r="C41" s="5" t="inlineStr">
        <is>
          <t>Command of Evidence (Cover Crops)</t>
        </is>
      </c>
      <c r="D41" s="5" t="inlineStr">
        <is>
          <t>Cover crops, such as teff, are planted by many farmers between main growing seasons. While these crops are known for increasing biodiversity, Axel Don and his coauthor argued in a 2015 study that cover crops’ role in supporting soil carbon sequestration deserves more attention. Cover crops remove carbon dioxide (CO2) from the air and convert it to organic compounds; some of these compounds are stored in the soil as soil organic carbon (SOC), which contributes to the buildup of SOC stocks over time. Based on data from numerous farm fields, Don and his coauthor concluded that cover crops contribute meaningfully to soil carbon sequestration and, if widely adopted, could help offset agricultural emissions of atmospheric CO2 and other greenhouse gases.</t>
        </is>
      </c>
      <c r="E41" s="5" t="inlineStr">
        <is>
          <t>Which finding, if true, would be most consistent with Don and his coauthor’s conclusion?</t>
        </is>
      </c>
      <c r="F41" s="5" t="inlineStr">
        <is>
          <t>A. Lựa chọn A
B. Lựa chọn B
C. Lựa chọn C
D. Lựa chọn D</t>
        </is>
      </c>
      <c r="G41" s="14" t="n"/>
      <c r="H41" s="7">
        <f>IF(ISBLANK(G41), "⏳ Chờ đáp án", IF(UPPER(TRIM(G41))="D", "✅ Đúng", "❌ Sai"))</f>
        <v/>
      </c>
      <c r="I41" s="14" t="n"/>
      <c r="J41" s="7">
        <f>IF(ISBLANK(I41), "", IF(UPPER(TRIM(I41))="D", "✅ Đúng", "❌ Sai"))</f>
        <v/>
      </c>
      <c r="K41" s="14" t="n"/>
      <c r="L41" s="7">
        <f>IF(ISBLANK(K41), "", IF(UPPER(TRIM(K41))="D", "✅ Đúng", "❌ Sai"))</f>
        <v/>
      </c>
      <c r="M41" s="7">
        <f>COUNTIF(H41, "❌ Sai") + COUNTIF(J41, "❌ Sai") + COUNTIF(L41, "❌ Sai")</f>
        <v/>
      </c>
      <c r="N41" s="7">
        <f>IF(ISBLANK(G41), "⏳ Chờ làm", IF(H41="✅ Đúng", "✅ Đúng ngay L1", IF(J41="✅ Đúng", "✅ Đúng ở L2", IF(L41="✅ Đúng", "✅ Đúng ở L3", "❌ Chưa đúng sau 3 lần"))))</f>
        <v/>
      </c>
      <c r="O41" s="13">
        <f>IF(ISBLANK(F41), "💡 Nhập đáp án vào Lần thử 1", IF(G41="✅ Đúng", "✨ Xuất sắc! Bạn đã làm đúng.", "💡 Gợi ý: " &amp; "Kiểm tra số liệu bảng biểu để xác định phương án phản ánh đúng xu hướng dữ liệu."))</f>
        <v/>
      </c>
      <c r="P41" s="5">
        <f>IF(ISBLANK(G41), "💡 Nhập đáp án vào Lần thử 1", IF(OR(H41="✅ Đúng", J41="✅ Đúng", L41="✅ Đúng"), "✨ Xuất sắc! Bạn đã làm đúng.", IF(NOT(ISBLANK(K41)), "💡 Gợi ý Tầng 3 (Chốt phương pháp): " &amp; "Chọn đáp án mô tả đúng sự gia tăng hoặc giảm thiểu chỉ số được nêu.", IF(NOT(ISBLANK(I41)), "💡 Gợi ý Tầng 2 (Manh mối cấu trúc &amp; Loại trừ): " &amp; "Tìm sự kết hợp giữa thông tin trong bài đọc và xu hướng thể hiện trên biểu đồ/bảng.", "💡 Gợi ý Tầng 1 (Định hướng bối cảnh): " &amp; "Phân tích dữ liệu được trình bày về tác dụng của cây che phủ (cover crops)."))))</f>
        <v/>
      </c>
      <c r="Q41" s="5">
        <f>IF(OR(H41="✅ Đúng", J41="✅ Đúng", L41="✅ Đúng"), "Consistent with conclusion = Dữ liệu thực tế chứng minh vai trò tăng SOC của cover crops.", "🔒 Trả lời đúng để mở khóa Strategic Tip!")</f>
        <v/>
      </c>
    </row>
    <row r="42" ht="15.75" customHeight="1" s="19">
      <c r="A42" s="7" t="inlineStr">
        <is>
          <t>M38</t>
        </is>
      </c>
      <c r="B42" s="7" t="inlineStr">
        <is>
          <t>Reading &amp; Writing Module 2</t>
        </is>
      </c>
      <c r="C42" s="5" t="inlineStr">
        <is>
          <t>Text Completion / Logical Inference</t>
        </is>
      </c>
      <c r="D42" s="5" t="inlineStr">
        <is>
          <t>While the brain regions most strongly associated with language tasks have some modularity in that different language tasks activate these areas to varying degrees, comprehension also invokes other areas of the brain more strongly associated with nonlinguistic functions. For example, understanding a description of a person performing physical actions might call on parts of the listener’s brain associated with sensory- motor functions, whereas a highly emotive account will likely activate areas associated with affective processing. Thus, beyond the areas most strongly associated with linguistic functions, ______</t>
        </is>
      </c>
      <c r="E42" s="5" t="inlineStr">
        <is>
          <t>Which choice most logically completes the text?</t>
        </is>
      </c>
      <c r="F42" s="5" t="inlineStr">
        <is>
          <t>A. Lựa chọn A
B. Lựa chọn B
C. Lựa chọn C
D. Lựa chọn D</t>
        </is>
      </c>
      <c r="G42" s="14" t="n"/>
      <c r="H42" s="7">
        <f>IF(ISBLANK(G42), "⏳ Chờ đáp án", IF(UPPER(TRIM(G42))="A", "✅ Đúng", "❌ Sai"))</f>
        <v/>
      </c>
      <c r="I42" s="14" t="n"/>
      <c r="J42" s="7">
        <f>IF(ISBLANK(I42), "", IF(UPPER(TRIM(I42))="A", "✅ Đúng", "❌ Sai"))</f>
        <v/>
      </c>
      <c r="K42" s="14" t="n"/>
      <c r="L42" s="7">
        <f>IF(ISBLANK(K42), "", IF(UPPER(TRIM(K42))="A", "✅ Đúng", "❌ Sai"))</f>
        <v/>
      </c>
      <c r="M42" s="7">
        <f>COUNTIF(H42, "❌ Sai") + COUNTIF(J42, "❌ Sai") + COUNTIF(L42, "❌ Sai")</f>
        <v/>
      </c>
      <c r="N42" s="7">
        <f>IF(ISBLANK(G42), "⏳ Chờ làm", IF(H42="✅ Đúng", "✅ Đúng ngay L1", IF(J42="✅ Đúng", "✅ Đúng ở L2", IF(L42="✅ Đúng", "✅ Đúng ở L3", "❌ Chưa đúng sau 3 lần"))))</f>
        <v/>
      </c>
      <c r="O42" s="13">
        <f>IF(ISBLANK(F42), "💡 Nhập đáp án vào Lần thử 1", IF(G42="✅ Đúng", "✨ Xuất sắc! Bạn đã làm đúng.", "💡 Gợi ý: " &amp; "Đọc câu văn ngay trước chỗ trống để xác định hướng phát triển logic của luận điểm."))</f>
        <v/>
      </c>
      <c r="P42" s="5">
        <f>IF(ISBLANK(G42), "💡 Nhập đáp án vào Lần thử 1", IF(OR(H42="✅ Đúng", J42="✅ Đúng", L42="✅ Đúng"), "✨ Xuất sắc! Bạn đã làm đúng.", IF(NOT(ISBLANK(K42)), "💡 Gợi ý Tầng 3 (Chốt phương pháp): " &amp; "Chọn vế kết luận nối tiếp hợp lý với hướng lập luận của tác giả.", IF(NOT(ISBLANK(I42)), "💡 Gợi ý Tầng 2 (Manh mối cấu trúc &amp; Loại trừ): " &amp; "Chú ý từ nối chỉ sự tương phản hoặc nguyên nhân - kết quả ở vế trước.", "💡 Gợi ý Tầng 1 (Định hướng bối cảnh): " &amp; "Phân tích mối quan hệ logic giữa hai vế của câu cần hoàn thành."))))</f>
        <v/>
      </c>
      <c r="Q42" s="5">
        <f>IF(OR(H42="✅ Đúng", J42="✅ Đúng", L42="✅ Đúng"), "Kết luận hợp logic: Loại hình nội dung khác nhau -&gt; Kích hoạt các vùng não phi ngôn ngữ khác nhau.", "🔒 Trả lời đúng để mở khóa Strategic Tip!")</f>
        <v/>
      </c>
    </row>
    <row r="43" ht="15.75" customHeight="1" s="19">
      <c r="A43" s="7" t="inlineStr">
        <is>
          <t>M39</t>
        </is>
      </c>
      <c r="B43" s="7" t="inlineStr">
        <is>
          <t>Reading &amp; Writing Module 2</t>
        </is>
      </c>
      <c r="C43" s="5" t="inlineStr">
        <is>
          <t>Text Completion / Logic Comparison</t>
        </is>
      </c>
      <c r="D43" s="5" t="inlineStr">
        <is>
          <t>The Clarion-Clipperton Zone (CCZ) is an expanse of abyssal plain and seamounts (underwater mountains) between Hawai‘i and Mexico in which mining is permitted, but the area’s biodiversity is poorly understood. The vast majority of invertebrate species found in a recent survey of the CCZ were hitherto unknown to scientists, and sampling for animal life has been highly concentrated in the eastern part of the zone. Some species like Psychropotes dyscrita were identified both morphologically and molecularly (using DNA analysis), whereas Discantenna metallica and other species for which molecular sampling was impracticable were identified solely based on physical morphology. Since molecular analysis does not require distinguishing subtle physiological differences, it is ______</t>
        </is>
      </c>
      <c r="E43" s="5" t="inlineStr">
        <is>
          <t>Which choice most logically completes the text?</t>
        </is>
      </c>
      <c r="F43" s="5" t="inlineStr">
        <is>
          <t>A. Lựa chọn A
B. Lựa chọn B
C. Lựa chọn C
D. Lựa chọn D</t>
        </is>
      </c>
      <c r="G43" s="14" t="n"/>
      <c r="H43" s="7">
        <f>IF(ISBLANK(G43), "⏳ Chờ đáp án", IF(UPPER(TRIM(G43))="D", "✅ Đúng", "❌ Sai"))</f>
        <v/>
      </c>
      <c r="I43" s="14" t="n"/>
      <c r="J43" s="7">
        <f>IF(ISBLANK(I43), "", IF(UPPER(TRIM(I43))="D", "✅ Đúng", "❌ Sai"))</f>
        <v/>
      </c>
      <c r="K43" s="14" t="n"/>
      <c r="L43" s="7">
        <f>IF(ISBLANK(K43), "", IF(UPPER(TRIM(K43))="D", "✅ Đúng", "❌ Sai"))</f>
        <v/>
      </c>
      <c r="M43" s="7">
        <f>COUNTIF(H43, "❌ Sai") + COUNTIF(J43, "❌ Sai") + COUNTIF(L43, "❌ Sai")</f>
        <v/>
      </c>
      <c r="N43" s="7">
        <f>IF(ISBLANK(G43), "⏳ Chờ làm", IF(H43="✅ Đúng", "✅ Đúng ngay L1", IF(J43="✅ Đúng", "✅ Đúng ở L2", IF(L43="✅ Đúng", "✅ Đúng ở L3", "❌ Chưa đúng sau 3 lần"))))</f>
        <v/>
      </c>
      <c r="O43" s="13">
        <f>IF(ISBLANK(F43), "💡 Nhập đáp án vào Lần thử 1", IF(G43="✅ Đúng", "✨ Xuất sắc! Bạn đã làm đúng.", "💡 Gợi ý: " &amp; "Chú ý các từ nối so sánh để chọn câu hoàn thành đúng mối tương quan giữa các đối tượng."))</f>
        <v/>
      </c>
      <c r="P43" s="5">
        <f>IF(ISBLANK(G43), "💡 Nhập đáp án vào Lần thử 1", IF(OR(H43="✅ Đúng", J43="✅ Đúng", L43="✅ Đúng"), "✨ Xuất sắc! Bạn đã làm đúng.", IF(NOT(ISBLANK(K43)), "💡 Gợi ý Tầng 3 (Chốt phương pháp): " &amp; "Chọn câu hoàn thành thể hiện chính xác kết quả so sánh được suy ra từ bài.", IF(NOT(ISBLANK(I43)), "💡 Gợi ý Tầng 2 (Manh mối cấu trúc &amp; Loại trừ): " &amp; "Chú ý đến các từ chỉ mức độ hoặc tỉ lệ tương quan giữa hai đối tượng.", "💡 Gợi ý Tầng 1 (Định hướng bối cảnh): " &amp; "Xác định sự so sánh giữa hai nhóm hoặc hai phương pháp được đề cập."))))</f>
        <v/>
      </c>
      <c r="Q43" s="5">
        <f>IF(OR(H43="✅ Đúng", J43="✅ Đúng", L43="✅ Đúng"), "Ưu điểm của phân tích phân tử: Phân biệt chính xác các loài có hình thái bên ngoài tương đồng.", "🔒 Trả lời đúng để mở khóa Strategic Tip!")</f>
        <v/>
      </c>
    </row>
    <row r="44" ht="15.75" customHeight="1" s="19">
      <c r="A44" s="7" t="inlineStr">
        <is>
          <t>M40</t>
        </is>
      </c>
      <c r="B44" s="7" t="inlineStr">
        <is>
          <t>Reading &amp; Writing Module 2</t>
        </is>
      </c>
      <c r="C44" s="5" t="inlineStr">
        <is>
          <t>Text Completion / Complex Inference</t>
        </is>
      </c>
      <c r="D44" s="5" t="inlineStr">
        <is>
          <t>Rare species advantage (RSA) describes the situation in which there are few conspecifics (other members of the same species) in an organism’s immediate surroundings, enabling the organism to avoid competition with conspecifics for the same resources; RSA is widely believed to play a crucial role in maintaining ecological stability. Among tree species in the Barro Colorado Island plot (latitude 9.15∘ N) and other tropical forest sites, there is little correlation between conspecific aggregation and the abundance of a given species in the wider local area, so RSA is expected, but in the Fenglin Nature Reserve (latitude 48.08∘ N) and other temperate forest sites, the aggregation-abundance correlation for tree species is strongly negative. Mathematical modeling suggests, however, that ecological niche distinction may mitigate the apparent risk to temperate ecological stability engendered by this pattern: ______</t>
        </is>
      </c>
      <c r="E44" s="5" t="inlineStr">
        <is>
          <t>Which choice most logically completes the text?</t>
        </is>
      </c>
      <c r="F44" s="5" t="inlineStr">
        <is>
          <t>A. Lựa chọn A
B. Lựa chọn B
C. Lựa chọn C
D. Lựa chọn D</t>
        </is>
      </c>
      <c r="G44" s="14" t="n"/>
      <c r="H44" s="7">
        <f>IF(ISBLANK(G44), "⏳ Chờ đáp án", IF(UPPER(TRIM(G44))="C", "✅ Đúng", "❌ Sai"))</f>
        <v/>
      </c>
      <c r="I44" s="14" t="n"/>
      <c r="J44" s="7">
        <f>IF(ISBLANK(I44), "", IF(UPPER(TRIM(I44))="C", "✅ Đúng", "❌ Sai"))</f>
        <v/>
      </c>
      <c r="K44" s="14" t="n"/>
      <c r="L44" s="7">
        <f>IF(ISBLANK(K44), "", IF(UPPER(TRIM(K44))="C", "✅ Đúng", "❌ Sai"))</f>
        <v/>
      </c>
      <c r="M44" s="7">
        <f>COUNTIF(H44, "❌ Sai") + COUNTIF(J44, "❌ Sai") + COUNTIF(L44, "❌ Sai")</f>
        <v/>
      </c>
      <c r="N44" s="7">
        <f>IF(ISBLANK(G44), "⏳ Chờ làm", IF(H44="✅ Đúng", "✅ Đúng ngay L1", IF(J44="✅ Đúng", "✅ Đúng ở L2", IF(L44="✅ Đúng", "✅ Đúng ở L3", "❌ Chưa đúng sau 3 lần"))))</f>
        <v/>
      </c>
      <c r="O44" s="13">
        <f>IF(ISBLANK(F44), "💡 Nhập đáp án vào Lần thử 1", IF(G44="✅ Đúng", "✨ Xuất sắc! Bạn đã làm đúng.", "💡 Gợi ý: " &amp; "Tổng hợp các dữ kiện trong bài để chọn kết luận logic bảo thủ, tránh suy diễn quá đà."))</f>
        <v/>
      </c>
      <c r="P44" s="5">
        <f>IF(ISBLANK(G44), "💡 Nhập đáp án vào Lần thử 1", IF(OR(H44="✅ Đúng", J44="✅ Đúng", L44="✅ Đúng"), "✨ Xuất sắc! Bạn đã làm đúng.", IF(NOT(ISBLANK(K44)), "💡 Gợi ý Tầng 3 (Chốt phương pháp): " &amp; "Chọn câu kết luận phản ánh đúng tác động của kết quả thực nghiệm lên giả thuyết.", IF(NOT(ISBLANK(I44)), "💡 Gợi ý Tầng 2 (Manh mối cấu trúc &amp; Loại trừ): " &amp; "Xác định kết quả thử nghiệm nào sẽ củng cố hoặc làm suy yếu giả thuyết đó.", "💡 Gợi ý Tầng 1 (Định hướng bối cảnh): " &amp; "Đọc kỹ các câu tiền đề để nắm vững giả thuyết nghiên cứu được đưa ra."))))</f>
        <v/>
      </c>
      <c r="Q44" s="5">
        <f>IF(OR(H44="✅ Đúng", J44="✅ Đúng", L44="✅ Đúng"), "Giải thích cơ chế Niche Distinction giúp duy trì sự ổn định sinh thái.", "🔒 Trả lời đúng để mở khóa Strategic Tip!")</f>
        <v/>
      </c>
    </row>
    <row r="45" ht="15.75" customHeight="1" s="19">
      <c r="A45" s="7" t="inlineStr">
        <is>
          <t>M41</t>
        </is>
      </c>
      <c r="B45" s="7" t="inlineStr">
        <is>
          <t>Reading &amp; Writing Module 2</t>
        </is>
      </c>
      <c r="C45" s="5" t="inlineStr">
        <is>
          <t>Standard English Conventions (Modifiers)</t>
        </is>
      </c>
      <c r="D45" s="5" t="inlineStr">
        <is>
          <t>A premortem is an exercise in which teams imagine their project has already failed, then brainstorm possible reasons for that failure. Despite its apparent pessimism, ______ prompting teams to proactively develop mitigation strategies during the planning stage. As a result, the project is more likely to succeed.</t>
        </is>
      </c>
      <c r="E45" s="5" t="inlineStr">
        <is>
          <t>Which choice completes the text so that it conforms to the conventions of Standard English?</t>
        </is>
      </c>
      <c r="F45" s="5" t="inlineStr">
        <is>
          <t>A. Lựa chọn A
B. Lựa chọn B
C. Lựa chọn C
D. Lựa chọn D</t>
        </is>
      </c>
      <c r="G45" s="14" t="n"/>
      <c r="H45" s="7">
        <f>IF(ISBLANK(G45), "⏳ Chờ đáp án", IF(UPPER(TRIM(G45))="B", "✅ Đúng", "❌ Sai"))</f>
        <v/>
      </c>
      <c r="I45" s="14" t="n"/>
      <c r="J45" s="7">
        <f>IF(ISBLANK(I45), "", IF(UPPER(TRIM(I45))="B", "✅ Đúng", "❌ Sai"))</f>
        <v/>
      </c>
      <c r="K45" s="14" t="n"/>
      <c r="L45" s="7">
        <f>IF(ISBLANK(K45), "", IF(UPPER(TRIM(K45))="B", "✅ Đúng", "❌ Sai"))</f>
        <v/>
      </c>
      <c r="M45" s="7">
        <f>COUNTIF(H45, "❌ Sai") + COUNTIF(J45, "❌ Sai") + COUNTIF(L45, "❌ Sai")</f>
        <v/>
      </c>
      <c r="N45" s="7">
        <f>IF(ISBLANK(G45), "⏳ Chờ làm", IF(H45="✅ Đúng", "✅ Đúng ngay L1", IF(J45="✅ Đúng", "✅ Đúng ở L2", IF(L45="✅ Đúng", "✅ Đúng ở L3", "❌ Chưa đúng sau 3 lần"))))</f>
        <v/>
      </c>
      <c r="O45" s="13">
        <f>IF(ISBLANK(F45), "💡 Nhập đáp án vào Lần thử 1", IF(G45="✅ Đúng", "✨ Xuất sắc! Bạn đã làm đúng.", "💡 Gợi ý: " &amp; "Xác định danh từ đứng ngay sau dấu phẩy để đảm bảo bổ ngữ đầu câu bổ nghĩa đúng đối tượng."))</f>
        <v/>
      </c>
      <c r="P45" s="5">
        <f>IF(ISBLANK(G45), "💡 Nhập đáp án vào Lần thử 1", IF(OR(H45="✅ Đúng", J45="✅ Đúng", L45="✅ Đúng"), "✨ Xuất sắc! Bạn đã làm đúng.", IF(NOT(ISBLANK(K45)), "💡 Gợi ý Tầng 3 (Chốt phương pháp): " &amp; "Loại bỏ các phương án bị lỗi bổ ngữ lủng lẳng (dangling modifier).", IF(NOT(ISBLANK(I45)), "💡 Gợi ý Tầng 2 (Manh mối cấu trúc &amp; Loại trừ): " &amp; "Quy tắc bổ ngữ: Danh từ đứng ngay sau dấu phẩy phải là chủ thể thực hiện hành động phân từ.", "💡 Gợi ý Tầng 1 (Định hướng bối cảnh): " &amp; "Xác định vị trí của cụm phân từ đầu câu và đối tượng mà nó bổ nghĩa."))))</f>
        <v/>
      </c>
      <c r="Q45" s="5">
        <f>IF(OR(H45="✅ Đúng", J45="✅ Đúng", L45="✅ Đúng"), "Bổ ngữ phân từ đầu câu: [Participle Modifier], [Subject + Verb].", "🔒 Trả lời đúng để mở khóa Strategic Tip!")</f>
        <v/>
      </c>
    </row>
    <row r="46" ht="15.75" customHeight="1" s="19">
      <c r="A46" s="7" t="inlineStr">
        <is>
          <t>M42</t>
        </is>
      </c>
      <c r="B46" s="7" t="inlineStr">
        <is>
          <t>Reading &amp; Writing Module 2</t>
        </is>
      </c>
      <c r="C46" s="5" t="inlineStr">
        <is>
          <t>Standard English Conventions (Parallel Lists)</t>
        </is>
      </c>
      <c r="D46" s="5" t="inlineStr">
        <is>
          <t>As one of aviation’s earliest female stunt performers, Gladys Ingle developed a versatile repertoire of acrobatic feats. Her specialized skills included standing on the wing of a flying aircraft and shooting a bow and arrow at a ______ perfect balance during aerial maneuvers, such as vertical loops; and even walking across the wing as an aircraft flew at full speed beneath a bridge.</t>
        </is>
      </c>
      <c r="E46" s="5" t="inlineStr">
        <is>
          <t>Which choice completes the text so that it conforms to the conventions of Standard English?</t>
        </is>
      </c>
      <c r="F46" s="5" t="inlineStr">
        <is>
          <t>A. Lựa chọn A
B. Lựa chọn B
C. Lựa chọn C
D. Lựa chọn D</t>
        </is>
      </c>
      <c r="G46" s="14" t="n"/>
      <c r="H46" s="7">
        <f>IF(ISBLANK(G46), "⏳ Chờ đáp án", IF(UPPER(TRIM(G46))="A", "✅ Đúng", "❌ Sai"))</f>
        <v/>
      </c>
      <c r="I46" s="14" t="n"/>
      <c r="J46" s="7">
        <f>IF(ISBLANK(I46), "", IF(UPPER(TRIM(I46))="A", "✅ Đúng", "❌ Sai"))</f>
        <v/>
      </c>
      <c r="K46" s="14" t="n"/>
      <c r="L46" s="7">
        <f>IF(ISBLANK(K46), "", IF(UPPER(TRIM(K46))="A", "✅ Đúng", "❌ Sai"))</f>
        <v/>
      </c>
      <c r="M46" s="7">
        <f>COUNTIF(H46, "❌ Sai") + COUNTIF(J46, "❌ Sai") + COUNTIF(L46, "❌ Sai")</f>
        <v/>
      </c>
      <c r="N46" s="7">
        <f>IF(ISBLANK(G46), "⏳ Chờ làm", IF(H46="✅ Đúng", "✅ Đúng ngay L1", IF(J46="✅ Đúng", "✅ Đúng ở L2", IF(L46="✅ Đúng", "✅ Đúng ở L3", "❌ Chưa đúng sau 3 lần"))))</f>
        <v/>
      </c>
      <c r="O46" s="13">
        <f>IF(ISBLANK(F46), "💡 Nhập đáp án vào Lần thử 1", IF(G46="✅ Đúng", "✨ Xuất sắc! Bạn đã làm đúng.", "💡 Gợi ý: " &amp; "Kiểm tra tính song song về mặt cấu trúc ngữ pháp giữa các phần tử trong danh sách liệt kê."))</f>
        <v/>
      </c>
      <c r="P46" s="5">
        <f>IF(ISBLANK(G46), "💡 Nhập đáp án vào Lần thử 1", IF(OR(H46="✅ Đúng", J46="✅ Đúng", L46="✅ Đúng"), "✨ Xuất sắc! Bạn đã làm đúng.", IF(NOT(ISBLANK(K46)), "💡 Gợi ý Tầng 3 (Chốt phương pháp): " &amp; "Chọn phương án duy trì đúng hình thái ngữ pháp đồng bộ với các phần tử trước.", IF(NOT(ISBLANK(I46)), "💡 Gợi ý Tầng 2 (Manh mối cấu trúc &amp; Loại trừ): " &amp; "Các phần tử được nối bằng liên từ phải có cùng dạng từ (động từ, danh từ hoặc cụm từ).", "💡 Gợi ý Tầng 1 (Định hướng bối cảnh): " &amp; "Kiểm tra cấu trúc song song (parallelism) trong danh sách các phần tử."))))</f>
        <v/>
      </c>
      <c r="Q46" s="5">
        <f>IF(OR(H46="✅ Đúng", J46="✅ Đúng", L46="✅ Đúng"), "Dùng dấu chấm phẩy (;) phân tách các mục lớn trong danh sách phức tạp.", "🔒 Trả lời đúng để mở khóa Strategic Tip!")</f>
        <v/>
      </c>
    </row>
    <row r="47" ht="15.75" customHeight="1" s="19">
      <c r="A47" s="7" t="inlineStr">
        <is>
          <t>M43</t>
        </is>
      </c>
      <c r="B47" s="7" t="inlineStr">
        <is>
          <t>Reading &amp; Writing Module 2</t>
        </is>
      </c>
      <c r="C47" s="5" t="inlineStr">
        <is>
          <t>Standard English Conventions (Participles)</t>
        </is>
      </c>
      <c r="D47" s="5" t="inlineStr">
        <is>
          <t>During a recent investigation, archaeologists ______ an explanation for the consistent and seemingly deliberate placement of petroglyphs (rock carvings) near water analyzed several sites on Caribbean islands. They discovered that many of the pools near petroglyphs had consistent water levels year-round, creating perfect reflecting surfaces for the carved symbols on the rocks.</t>
        </is>
      </c>
      <c r="E47" s="5" t="inlineStr">
        <is>
          <t>Which choice completes the text so that it conforms to the conventions of Standard English?</t>
        </is>
      </c>
      <c r="F47" s="5" t="inlineStr">
        <is>
          <t>A. Lựa chọn A
B. Lựa chọn B
C. Lựa chọn C
D. Lựa chọn D</t>
        </is>
      </c>
      <c r="G47" s="14" t="n"/>
      <c r="H47" s="7">
        <f>IF(ISBLANK(G47), "⏳ Chờ đáp án", IF(UPPER(TRIM(G47))="C", "✅ Đúng", "❌ Sai"))</f>
        <v/>
      </c>
      <c r="I47" s="14" t="n"/>
      <c r="J47" s="7">
        <f>IF(ISBLANK(I47), "", IF(UPPER(TRIM(I47))="C", "✅ Đúng", "❌ Sai"))</f>
        <v/>
      </c>
      <c r="K47" s="14" t="n"/>
      <c r="L47" s="7">
        <f>IF(ISBLANK(K47), "", IF(UPPER(TRIM(K47))="C", "✅ Đúng", "❌ Sai"))</f>
        <v/>
      </c>
      <c r="M47" s="7">
        <f>COUNTIF(H47, "❌ Sai") + COUNTIF(J47, "❌ Sai") + COUNTIF(L47, "❌ Sai")</f>
        <v/>
      </c>
      <c r="N47" s="7">
        <f>IF(ISBLANK(G47), "⏳ Chờ làm", IF(H47="✅ Đúng", "✅ Đúng ngay L1", IF(J47="✅ Đúng", "✅ Đúng ở L2", IF(L47="✅ Đúng", "✅ Đúng ở L3", "❌ Chưa đúng sau 3 lần"))))</f>
        <v/>
      </c>
      <c r="O47" s="13">
        <f>IF(ISBLANK(F47), "💡 Nhập đáp án vào Lần thử 1", IF(G47="✅ Đúng", "✨ Xuất sắc! Bạn đã làm đúng.", "💡 Gợi ý: " &amp; "Phân biệt giữa hiện tại phân từ (-ing) và quá khứ phân từ (-ed) dựa trên tính chủ động/bị động."))</f>
        <v/>
      </c>
      <c r="P47" s="5">
        <f>IF(ISBLANK(G47), "💡 Nhập đáp án vào Lần thử 1", IF(OR(H47="✅ Đúng", J47="✅ Đúng", L47="✅ Đúng"), "✨ Xuất sắc! Bạn đã làm đúng.", IF(NOT(ISBLANK(K47)), "💡 Gợi ý Tầng 3 (Chốt phương pháp): " &amp; "Chọn dạng phân từ phù hợp với cấu trúc ngữ pháp của câu.", IF(NOT(ISBLANK(I47)), "💡 Gợi ý Tầng 2 (Manh mối cấu trúc &amp; Loại trừ): " &amp; "Phân biệt giữa dạng phân từ làm tính từ bổ nghĩa và động từ chia thì chính.", "💡 Gợi ý Tầng 1 (Định hướng bối cảnh): " &amp; "Phân tích vai trò ngữ pháp của từ cần điền trong mệnh đề chính."))))</f>
        <v/>
      </c>
      <c r="Q47" s="5">
        <f>IF(OR(H47="✅ Đúng", J47="✅ Đúng", L47="✅ Đúng"), "Rút gọn mệnh đề quan hệ chủ động: archaeologists who were seeking -&gt; archaeologists seeking.", "🔒 Trả lời đúng để mở khóa Strategic Tip!")</f>
        <v/>
      </c>
    </row>
    <row r="48" ht="15.75" customHeight="1" s="19">
      <c r="A48" s="7" t="inlineStr">
        <is>
          <t>M44</t>
        </is>
      </c>
      <c r="B48" s="7" t="inlineStr">
        <is>
          <t>Reading &amp; Writing Module 2</t>
        </is>
      </c>
      <c r="C48" s="5" t="inlineStr">
        <is>
          <t>Standard English Conventions (Punctuation Dashes)</t>
        </is>
      </c>
      <c r="D48" s="5" t="inlineStr">
        <is>
          <t>For his mash-up “Smells Like Rockin’ Robin,” DJ Mark Vidler layered Kurt Cobain’s minor-key vocals from “Smells Like Teen Spirit” over the Jackson 5’s major-key blues progression from “Rockin’ ______ by inserting the grunge singer’s vocal melody as pitch-shifted “blue notes” within the pop-soul group’s harmonic framework, creates an intensified “bluesy” sound and subverts the expectations of listeners familiar with either musical source.</t>
        </is>
      </c>
      <c r="E48" s="5" t="inlineStr">
        <is>
          <t>Which choice completes the text so that it conforms to the conventions of Standard English?</t>
        </is>
      </c>
      <c r="F48" s="5" t="inlineStr">
        <is>
          <t>A. Lựa chọn A
B. Lựa chọn B
C. Lựa chọn C
D. Lựa chọn D</t>
        </is>
      </c>
      <c r="G48" s="14" t="n"/>
      <c r="H48" s="7">
        <f>IF(ISBLANK(G48), "⏳ Chờ đáp án", IF(UPPER(TRIM(G48))="D", "✅ Đúng", "❌ Sai"))</f>
        <v/>
      </c>
      <c r="I48" s="14" t="n"/>
      <c r="J48" s="7">
        <f>IF(ISBLANK(I48), "", IF(UPPER(TRIM(I48))="D", "✅ Đúng", "❌ Sai"))</f>
        <v/>
      </c>
      <c r="K48" s="14" t="n"/>
      <c r="L48" s="7">
        <f>IF(ISBLANK(K48), "", IF(UPPER(TRIM(K48))="D", "✅ Đúng", "❌ Sai"))</f>
        <v/>
      </c>
      <c r="M48" s="7">
        <f>COUNTIF(H48, "❌ Sai") + COUNTIF(J48, "❌ Sai") + COUNTIF(L48, "❌ Sai")</f>
        <v/>
      </c>
      <c r="N48" s="7">
        <f>IF(ISBLANK(G48), "⏳ Chờ làm", IF(H48="✅ Đúng", "✅ Đúng ngay L1", IF(J48="✅ Đúng", "✅ Đúng ở L2", IF(L48="✅ Đúng", "✅ Đúng ở L3", "❌ Chưa đúng sau 3 lần"))))</f>
        <v/>
      </c>
      <c r="O48" s="13">
        <f>IF(ISBLANK(F48), "💡 Nhập đáp án vào Lần thử 1", IF(G48="✅ Đúng", "✨ Xuất sắc! Bạn đã làm đúng.", "💡 Gợi ý: " &amp; "Chú ý cấu trúc cặp dấu gạch ngang hoặc dấu phẩy bao quanh mệnh đề chú giải."))</f>
        <v/>
      </c>
      <c r="P48" s="5">
        <f>IF(ISBLANK(G48), "💡 Nhập đáp án vào Lần thử 1", IF(OR(H48="✅ Đúng", J48="✅ Đúng", L48="✅ Đúng"), "✨ Xuất sắc! Bạn đã làm đúng.", IF(NOT(ISBLANK(K48)), "💡 Gợi ý Tầng 3 (Chốt phương pháp): " &amp; "Loại bỏ phương án thiếu dấu ngắt hoặc dùng sai kết hợp dấu.", IF(NOT(ISBLANK(I48)), "💡 Gợi ý Tầng 2 (Manh mối cấu trúc &amp; Loại trừ): " &amp; "Sử dụng cặp dấu gạch ngang đồng bộ để ngắt mở và ngắt kết thúc cụm bổ nghĩa.", "💡 Gợi ý Tầng 1 (Định hướng bối cảnh): " &amp; "Xác định cụm từ bổ sung thông tin không thiết yếu trong câu."))))</f>
        <v/>
      </c>
      <c r="Q48" s="5">
        <f>IF(OR(H48="✅ Đúng", J48="✅ Đúng", L48="✅ Đúng"), "Dấu gạch ngang đơn dùng để nhấn mạnh cụm từ bổ nghĩa ở cuối câu.", "🔒 Trả lời đúng để mở khóa Strategic Tip!")</f>
        <v/>
      </c>
    </row>
    <row r="49" ht="15.75" customHeight="1" s="19">
      <c r="A49" s="7" t="inlineStr">
        <is>
          <t>M45</t>
        </is>
      </c>
      <c r="B49" s="7" t="inlineStr">
        <is>
          <t>Reading &amp; Writing Module 2</t>
        </is>
      </c>
      <c r="C49" s="5" t="inlineStr">
        <is>
          <t>Standard English Conventions (Punctuation &amp; Prepositional Phrases)</t>
        </is>
      </c>
      <c r="D49" s="5" t="inlineStr">
        <is>
          <t>During the late nineteenth century, agricultural chemist George Washington Carver revolutionized farming practices in the American ______ promoting systematic crop rotation techniques that replenished essential nitrogen in depleted soils.</t>
        </is>
      </c>
      <c r="E49" s="5" t="inlineStr">
        <is>
          <t>Which choice completes the text so that it conforms to the conventions of Standard English?</t>
        </is>
      </c>
      <c r="F49" s="5" t="inlineStr">
        <is>
          <t>A. South, by
B. South by
C. South; by
D. South: by</t>
        </is>
      </c>
      <c r="G49" s="14" t="n"/>
      <c r="H49" s="7">
        <f>IF(ISBLANK(G49), "⏳ Chờ đáp án", IF(UPPER(TRIM(G49))="B", "✅ Đúng", "❌ Sai"))</f>
        <v/>
      </c>
      <c r="I49" s="14" t="n"/>
      <c r="J49" s="7">
        <f>IF(ISBLANK(I49), "", IF(UPPER(TRIM(I49))="B", "✅ Đúng", "❌ Sai"))</f>
        <v/>
      </c>
      <c r="K49" s="14" t="n"/>
      <c r="L49" s="7">
        <f>IF(ISBLANK(K49), "", IF(UPPER(TRIM(K49))="B", "✅ Đúng", "❌ Sai"))</f>
        <v/>
      </c>
      <c r="M49" s="7">
        <f>COUNTIF(H49, "❌ Sai") + COUNTIF(J49, "❌ Sai") + COUNTIF(L49, "❌ Sai")</f>
        <v/>
      </c>
      <c r="N49" s="7">
        <f>IF(ISBLANK(G49), "⏳ Chờ làm", IF(H49="✅ Đúng", "✅ Đúng ngay L1", IF(J49="✅ Đúng", "✅ Đúng ở L2", IF(L49="✅ Đúng", "✅ Đúng ở L3", "❌ Chưa đúng sau 3 lần"))))</f>
        <v/>
      </c>
      <c r="O49" s="13">
        <f>IF(ISBLANK(F49), "💡 Nhập đáp án vào Lần thử 1", IF(G49="✅ Đúng", "✨ Xuất sắc! Bạn đã làm đúng.", "💡 Gợi ý: " &amp; "Chọn giới từ đúng đi kèm với động từ/tính từ theo thói quen sử dụng chuẩn (collocation)."))</f>
        <v/>
      </c>
      <c r="P49" s="5">
        <f>IF(ISBLANK(G49), "💡 Nhập đáp án vào Lần thử 1", IF(OR(H49="✅ Đúng", J49="✅ Đúng", L49="✅ Đúng"), "✨ Xuất sắc! Bạn đã làm đúng.", IF(NOT(ISBLANK(K49)), "💡 Gợi ý Tầng 3 (Chốt phương pháp): " &amp; "Chọn giới từ đúng theo quy tắc kết hợp từ chuẩn tiếng Anh.", IF(NOT(ISBLANK(I49)), "💡 Gợi ý Tầng 2 (Manh mối cấu trúc &amp; Loại trừ): " &amp; "Thói quen sử dụng từ (collocation) quy định giới từ chuẩn xác trong ngữ cảnh này.", "💡 Gợi ý Tầng 1 (Định hướng bối cảnh): " &amp; "Xác định giới từ đi kèm cố định với danh từ hoặc động từ đứng trước."))))</f>
        <v/>
      </c>
      <c r="Q49" s="5">
        <f>IF(OR(H49="✅ Đúng", J49="✅ Đúng", L49="✅ Đúng"), "Không đặt dấu phẩy ngăn cách trực tiếp trước giới từ chỉ phương thức.", "🔒 Trả lời đúng để mở khóa Strategic Tip!")</f>
        <v/>
      </c>
    </row>
    <row r="50" ht="15.75" customHeight="1" s="19">
      <c r="A50" s="7" t="inlineStr">
        <is>
          <t>M46</t>
        </is>
      </c>
      <c r="B50" s="7" t="inlineStr">
        <is>
          <t>Reading &amp; Writing Module 2</t>
        </is>
      </c>
      <c r="C50" s="5" t="inlineStr">
        <is>
          <t>Standard English Conventions (Boundaries &amp; Sentence Structure)</t>
        </is>
      </c>
      <c r="D50" s="5" t="inlineStr">
        <is>
          <t>Named for the year in which it was detected by English astronomers, SN 2016aps was a supernova (the explosion of a massive ______ in the constellation Draco, 3.6 billion light-years from Earth, the transient yet powerful blast propelled particles and debris into space at extremely high speeds.</t>
        </is>
      </c>
      <c r="E50" s="5" t="inlineStr">
        <is>
          <t>Which choice completes the text so that it conforms to the conventions of Standard English?</t>
        </is>
      </c>
      <c r="F50" s="5" t="inlineStr">
        <is>
          <t>A. star). Occurring
B. star) occurring
C. star) and occurring
D. star), occurring</t>
        </is>
      </c>
      <c r="G50" s="14" t="n"/>
      <c r="H50" s="7">
        <f>IF(ISBLANK(G50), "⏳ Chờ đáp án", IF(UPPER(TRIM(G50))="A", "✅ Đúng", "❌ Sai"))</f>
        <v/>
      </c>
      <c r="I50" s="14" t="n"/>
      <c r="J50" s="7">
        <f>IF(ISBLANK(I50), "", IF(UPPER(TRIM(I50))="A", "✅ Đúng", "❌ Sai"))</f>
        <v/>
      </c>
      <c r="K50" s="14" t="n"/>
      <c r="L50" s="7">
        <f>IF(ISBLANK(K50), "", IF(UPPER(TRIM(K50))="A", "✅ Đúng", "❌ Sai"))</f>
        <v/>
      </c>
      <c r="M50" s="7">
        <f>COUNTIF(H50, "❌ Sai") + COUNTIF(J50, "❌ Sai") + COUNTIF(L50, "❌ Sai")</f>
        <v/>
      </c>
      <c r="N50" s="7">
        <f>IF(ISBLANK(G50), "⏳ Chờ làm", IF(H50="✅ Đúng", "✅ Đúng ngay L1", IF(J50="✅ Đúng", "✅ Đúng ở L2", IF(L50="✅ Đúng", "✅ Đúng ở L3", "❌ Chưa đúng sau 3 lần"))))</f>
        <v/>
      </c>
      <c r="O50" s="13">
        <f>IF(ISBLANK(F50), "💡 Nhập đáp án vào Lần thử 1", IF(G50="✅ Đúng", "✨ Xuất sắc! Bạn đã làm đúng.", "💡 Gợi ý: " &amp; "Xác định xem danh từ cần phân từ đóng vai trò chủ thể thực hiện hay đối tượng chịu tác động."))</f>
        <v/>
      </c>
      <c r="P50" s="5">
        <f>IF(ISBLANK(G50), "💡 Nhập đáp án vào Lần thử 1", IF(OR(H50="✅ Đúng", J50="✅ Đúng", L50="✅ Đúng"), "✨ Xuất sắc! Bạn đã làm đúng.", IF(NOT(ISBLANK(K50)), "💡 Gợi ý Tầng 3 (Chốt phương pháp): " &amp; "Chọn dạng từ đảm bảo câu có đủ chủ ngữ và vị ngữ hoàn chỉnh.", IF(NOT(ISBLANK(I50)), "💡 Gợi ý Tầng 2 (Manh mối cấu trúc &amp; Loại trừ): " &amp; "Tránh lỗi câu thiếu vị ngữ (fragment) hoặc thừa vị ngữ nối sai quy tắc.", "💡 Gợi ý Tầng 1 (Định hướng bối cảnh): " &amp; "Phân tích cấu trúc câu để xác định xem đã có động từ chính chia thì chưa."))))</f>
        <v/>
      </c>
      <c r="Q50" s="5">
        <f>IF(OR(H50="✅ Đúng", J50="✅ Đúng", L50="✅ Đúng"), "Tránh lỗi Comma Splice bằng cách kết thúc câu bằng dấu chấm.", "🔒 Trả lời đúng để mở khóa Strategic Tip!")</f>
        <v/>
      </c>
    </row>
    <row r="51" ht="15.75" customHeight="1" s="19">
      <c r="A51" s="7" t="inlineStr">
        <is>
          <t>M47</t>
        </is>
      </c>
      <c r="B51" s="7" t="inlineStr">
        <is>
          <t>Reading &amp; Writing Module 2</t>
        </is>
      </c>
      <c r="C51" s="5" t="inlineStr">
        <is>
          <t>Standard English Conventions (Dangling &amp; Misplaced Modifiers)</t>
        </is>
      </c>
      <c r="D51" s="5" t="inlineStr">
        <is>
          <t>Originating during the Cretaceous period, ______</t>
        </is>
      </c>
      <c r="E51" s="5" t="inlineStr">
        <is>
          <t>Which choice completes the text so that it conforms to the conventions of Standard English?</t>
        </is>
      </c>
      <c r="F51" s="5" t="inlineStr">
        <is>
          <t>A. entomologists have extensively examined fossilized resin deposits excavated in northern Myanmar.
B. the fossilized amber specimens excavated in northern Myanmar preserve unprecedented anatomical details of early arthropods.
C. paleontological excavation in northern Myanmar has uncovered numerous ancient arthropods.
D. arthropods were trapped and entombed within sticky conifer secretions.</t>
        </is>
      </c>
      <c r="G51" s="14" t="n"/>
      <c r="H51" s="7">
        <f>IF(ISBLANK(G51), "⏳ Chờ đáp án", IF(UPPER(TRIM(G51))="B", "✅ Đúng", "❌ Sai"))</f>
        <v/>
      </c>
      <c r="I51" s="14" t="n"/>
      <c r="J51" s="7">
        <f>IF(ISBLANK(I51), "", IF(UPPER(TRIM(I51))="B", "✅ Đúng", "❌ Sai"))</f>
        <v/>
      </c>
      <c r="K51" s="14" t="n"/>
      <c r="L51" s="7">
        <f>IF(ISBLANK(K51), "", IF(UPPER(TRIM(K51))="B", "✅ Đúng", "❌ Sai"))</f>
        <v/>
      </c>
      <c r="M51" s="7">
        <f>COUNTIF(H51, "❌ Sai") + COUNTIF(J51, "❌ Sai") + COUNTIF(L51, "❌ Sai")</f>
        <v/>
      </c>
      <c r="N51" s="7">
        <f>IF(ISBLANK(G51), "⏳ Chờ làm", IF(H51="✅ Đúng", "✅ Đúng ngay L1", IF(J51="✅ Đúng", "✅ Đúng ở L2", IF(L51="✅ Đúng", "✅ Đúng ở L3", "❌ Chưa đúng sau 3 lần"))))</f>
        <v/>
      </c>
      <c r="O51" s="13">
        <f>IF(ISBLANK(F51), "💡 Nhập đáp án vào Lần thử 1", IF(G51="✅ Đúng", "✨ Xuất sắc! Bạn đã làm đúng.", "💡 Gợi ý: " &amp; "Đảm bảo chủ ngữ của mệnh đề chính là entity trực tiếp thực hiện hành động ở cụm mở đầu."))</f>
        <v/>
      </c>
      <c r="P51" s="5">
        <f>IF(ISBLANK(G51), "💡 Nhập đáp án vào Lần thử 1", IF(OR(H51="✅ Đúng", J51="✅ Đúng", L51="✅ Đúng"), "✨ Xuất sắc! Bạn đã làm đúng.", IF(NOT(ISBLANK(K51)), "💡 Gợi ý Tầng 3 (Chốt phương pháp): " &amp; "Chọn phương án đặt đúng chủ thể thực hiện hành động vào vị trí ngay sau dấu phẩy.", IF(NOT(ISBLANK(I51)), "💡 Gợi ý Tầng 2 (Manh mối cấu trúc &amp; Loại trừ): " &amp; "Chủ ngữ đứng ngay sau dấu phẩy bắt buộc phải là đối tượng thực hiện trực tiếp hành động đó.", "💡 Gợi ý Tầng 1 (Định hướng bối cảnh): " &amp; "Kiểm tra cụm mở đầu câu dạng `-ing` hoặc `-ed` đứng trước dấu phẩy."))))</f>
        <v/>
      </c>
      <c r="Q51" s="5">
        <f>IF(OR(H51="✅ Đúng", J51="✅ Đúng", L51="✅ Đúng"), "Bổ ngữ chỉ thời đại/nguồn gốc phải đi liền với danh từ hổ phách/hóa thạch.", "🔒 Trả lời đúng để mở khóa Strategic Tip!")</f>
        <v/>
      </c>
    </row>
    <row r="52" ht="15.75" customHeight="1" s="19">
      <c r="A52" s="7" t="inlineStr">
        <is>
          <t>M48</t>
        </is>
      </c>
      <c r="B52" s="7" t="inlineStr">
        <is>
          <t>Reading &amp; Writing Module 2</t>
        </is>
      </c>
      <c r="C52" s="5" t="inlineStr">
        <is>
          <t>Transitions &amp; Discourse Connectors (Contrast)</t>
        </is>
      </c>
      <c r="D52" s="5" t="inlineStr">
        <is>
          <t>In a 1993 study by Vales and Peek, the researchers used microhistological fecal analysis to determine the ratio of three plant subtypes (graminoids, forbs, and browse) within the diets of North American ungulates. The researchers did not perform this analysis on all such ungulates, ______ they focused exclusively on elk in Wyoming.</t>
        </is>
      </c>
      <c r="E52" s="5" t="inlineStr">
        <is>
          <t>Which choice completes the text with the most logical transition?</t>
        </is>
      </c>
      <c r="F52" s="5" t="inlineStr">
        <is>
          <t>A. for instance;
B. in other words;
C. regardless;
D. however;</t>
        </is>
      </c>
      <c r="G52" s="14" t="n"/>
      <c r="H52" s="7">
        <f>IF(ISBLANK(G52), "⏳ Chờ đáp án", IF(UPPER(TRIM(G52))="D", "✅ Đúng", "❌ Sai"))</f>
        <v/>
      </c>
      <c r="I52" s="14" t="n"/>
      <c r="J52" s="7">
        <f>IF(ISBLANK(I52), "", IF(UPPER(TRIM(I52))="D", "✅ Đúng", "❌ Sai"))</f>
        <v/>
      </c>
      <c r="K52" s="14" t="n"/>
      <c r="L52" s="7">
        <f>IF(ISBLANK(K52), "", IF(UPPER(TRIM(K52))="D", "✅ Đúng", "❌ Sai"))</f>
        <v/>
      </c>
      <c r="M52" s="7">
        <f>COUNTIF(H52, "❌ Sai") + COUNTIF(J52, "❌ Sai") + COUNTIF(L52, "❌ Sai")</f>
        <v/>
      </c>
      <c r="N52" s="7">
        <f>IF(ISBLANK(G52), "⏳ Chờ làm", IF(H52="✅ Đúng", "✅ Đúng ngay L1", IF(J52="✅ Đúng", "✅ Đúng ở L2", IF(L52="✅ Đúng", "✅ Đúng ở L3", "❌ Chưa đúng sau 3 lần"))))</f>
        <v/>
      </c>
      <c r="O52" s="13">
        <f>IF(ISBLANK(F52), "💡 Nhập đáp án vào Lần thử 1", IF(G52="✅ Đúng", "✨ Xuất sắc! Bạn đã làm đúng.", "💡 Gợi ý: " &amp; "Xác định xem hai câu có mối quan hệ tương phản hay bổ sung ý nghĩa để chọn từ nối phù hợp."))</f>
        <v/>
      </c>
      <c r="P52" s="5">
        <f>IF(ISBLANK(G52), "💡 Nhập đáp án vào Lần thử 1", IF(OR(H52="✅ Đúng", J52="✅ Đúng", L52="✅ Đúng"), "✨ Xuất sắc! Bạn đã làm đúng.", IF(NOT(ISBLANK(K52)), "💡 Gợi ý Tầng 3 (Chốt phương pháp): " &amp; "Chọn từ nối chỉ sự tương phản hoặc nhượng bộ phù hợp.", IF(NOT(ISBLANK(I52)), "💡 Gợi ý Tầng 2 (Manh mối cấu trúc &amp; Loại trừ): " &amp; "Xác định xem câu sau có xu hướng đối lập hay làm trái ngược ý của câu trước hay không.", "💡 Gợi ý Tầng 1 (Định hướng bối cảnh): " &amp; "Phân tích mối quan hệ logic giữa hai câu văn về mặt ý nghĩa."))))</f>
        <v/>
      </c>
      <c r="Q52" s="5">
        <f>IF(OR(H52="✅ Đúng", J52="✅ Đúng", L52="✅ Đúng"), "However = dùng để đối lập giữa giả định chung và phạm vi hẹp thực tế.", "🔒 Trả lời đúng để mở khóa Strategic Tip!")</f>
        <v/>
      </c>
    </row>
    <row r="53" ht="15.75" customHeight="1" s="19">
      <c r="A53" s="7" t="inlineStr">
        <is>
          <t>M49</t>
        </is>
      </c>
      <c r="B53" s="7" t="inlineStr">
        <is>
          <t>Reading &amp; Writing Module 2</t>
        </is>
      </c>
      <c r="C53" s="5" t="inlineStr">
        <is>
          <t>Transitions &amp; Discourse Connectors (Cause &amp; Effect / Conclusion)</t>
        </is>
      </c>
      <c r="D53" s="5" t="inlineStr">
        <is>
          <t>The Hornbostel-Sachs system classifies musical instruments by how they produce sound. For example, an instrument that is popular in India called the saraswati veena produces sound primarily through the vibration of its strings. ______ under the Hornbostel-Sachs system, the saraswati veena is a chordophone.</t>
        </is>
      </c>
      <c r="E53" s="5" t="inlineStr">
        <is>
          <t>Which choice completes the text with the most logical transition?</t>
        </is>
      </c>
      <c r="F53" s="5" t="inlineStr">
        <is>
          <t>A. Furthermore,
B. Thus,
C. Similarly,
D. Instead,</t>
        </is>
      </c>
      <c r="G53" s="14" t="n"/>
      <c r="H53" s="7">
        <f>IF(ISBLANK(G53), "⏳ Chờ đáp án", IF(UPPER(TRIM(G53))="B", "✅ Đúng", "❌ Sai"))</f>
        <v/>
      </c>
      <c r="I53" s="14" t="n"/>
      <c r="J53" s="7">
        <f>IF(ISBLANK(I53), "", IF(UPPER(TRIM(I53))="B", "✅ Đúng", "❌ Sai"))</f>
        <v/>
      </c>
      <c r="K53" s="14" t="n"/>
      <c r="L53" s="7">
        <f>IF(ISBLANK(K53), "", IF(UPPER(TRIM(K53))="B", "✅ Đúng", "❌ Sai"))</f>
        <v/>
      </c>
      <c r="M53" s="7">
        <f>COUNTIF(H53, "❌ Sai") + COUNTIF(J53, "❌ Sai") + COUNTIF(L53, "❌ Sai")</f>
        <v/>
      </c>
      <c r="N53" s="7">
        <f>IF(ISBLANK(G53), "⏳ Chờ làm", IF(H53="✅ Đúng", "✅ Đúng ngay L1", IF(J53="✅ Đúng", "✅ Đúng ở L2", IF(L53="✅ Đúng", "✅ Đúng ở L3", "❌ Chưa đúng sau 3 lần"))))</f>
        <v/>
      </c>
      <c r="O53" s="13">
        <f>IF(ISBLANK(F53), "💡 Nhập đáp án vào Lần thử 1", IF(G53="✅ Đúng", "✨ Xuất sắc! Bạn đã làm đúng.", "💡 Gợi ý: " &amp; "Kiểm tra xem câu sau có phải là một ví dụ cụ thể minh họa cho nhận định ở câu trước hay không."))</f>
        <v/>
      </c>
      <c r="P53" s="5">
        <f>IF(ISBLANK(G53), "💡 Nhập đáp án vào Lần thử 1", IF(OR(H53="✅ Đúng", J53="✅ Đúng", L53="✅ Đúng"), "✨ Xuất sắc! Bạn đã làm đúng.", IF(NOT(ISBLANK(K53)), "💡 Gợi ý Tầng 3 (Chốt phương pháp): " &amp; "Chọn từ nối chỉ ví dụ hoặc sự minh họa cụ thể.", IF(NOT(ISBLANK(I53)), "💡 Gợi ý Tầng 2 (Manh mối cấu trúc &amp; Loại trừ): " &amp; "Nếu câu thứ hai đưa ra một trường hợp cụ thể để minh họa, cần dùng từ nối minh họa.", "💡 Gợi ý Tầng 1 (Định hướng bối cảnh): " &amp; "Xác định vai trò của câu thứ hai đối với câu thứ nhất."))))</f>
        <v/>
      </c>
      <c r="Q53" s="5">
        <f>IF(OR(H53="✅ Đúng", J53="✅ Đúng", L53="✅ Đúng"), "Thus = kết luận logic rút ra từ định nghĩa trước đó.", "🔒 Trả lời đúng để mở khóa Strategic Tip!")</f>
        <v/>
      </c>
    </row>
    <row r="54" ht="15.75" customHeight="1" s="19">
      <c r="A54" s="7" t="inlineStr">
        <is>
          <t>M50</t>
        </is>
      </c>
      <c r="B54" s="7" t="inlineStr">
        <is>
          <t>Reading &amp; Writing Module 2</t>
        </is>
      </c>
      <c r="C54" s="5" t="inlineStr">
        <is>
          <t>Transitions &amp; Discourse Connectors (Exemplification)</t>
        </is>
      </c>
      <c r="D54" s="5" t="inlineStr">
        <is>
          <t>Generally, sleek vehicles are more aerodynamic than bulkier ones. The streamlined nose of the Airbus A350 XWB jet, ______ helps it glide through wind with relative ease, while a boxy pickup truck encounters more wind resistance, making it less aerodynamic.</t>
        </is>
      </c>
      <c r="E54" s="5" t="inlineStr">
        <is>
          <t>Which choice completes the text with the most logical transition?</t>
        </is>
      </c>
      <c r="F54" s="5" t="inlineStr">
        <is>
          <t>A. additionally,
B. however,
C. for example,
D. meanwhile,</t>
        </is>
      </c>
      <c r="G54" s="14" t="n"/>
      <c r="H54" s="7">
        <f>IF(ISBLANK(G54), "⏳ Chờ đáp án", IF(UPPER(TRIM(G54))="C", "✅ Đúng", "❌ Sai"))</f>
        <v/>
      </c>
      <c r="I54" s="14" t="n"/>
      <c r="J54" s="7">
        <f>IF(ISBLANK(I54), "", IF(UPPER(TRIM(I54))="C", "✅ Đúng", "❌ Sai"))</f>
        <v/>
      </c>
      <c r="K54" s="14" t="n"/>
      <c r="L54" s="7">
        <f>IF(ISBLANK(K54), "", IF(UPPER(TRIM(K54))="C", "✅ Đúng", "❌ Sai"))</f>
        <v/>
      </c>
      <c r="M54" s="7">
        <f>COUNTIF(H54, "❌ Sai") + COUNTIF(J54, "❌ Sai") + COUNTIF(L54, "❌ Sai")</f>
        <v/>
      </c>
      <c r="N54" s="7">
        <f>IF(ISBLANK(G54), "⏳ Chờ làm", IF(H54="✅ Đúng", "✅ Đúng ngay L1", IF(J54="✅ Đúng", "✅ Đúng ở L2", IF(L54="✅ Đúng", "✅ Đúng ở L3", "❌ Chưa đúng sau 3 lần"))))</f>
        <v/>
      </c>
      <c r="O54" s="13">
        <f>IF(ISBLANK(F54), "💡 Nhập đáp án vào Lần thử 1", IF(G54="✅ Đúng", "✨ Xuất sắc! Bạn đã làm đúng.", "💡 Gợi ý: " &amp; "Phân tích mối tương quan giữa hai phương pháp để chọn từ nối mang ý nghĩa so sánh/đối lập."))</f>
        <v/>
      </c>
      <c r="P54" s="5">
        <f>IF(ISBLANK(G54), "💡 Nhập đáp án vào Lần thử 1", IF(OR(H54="✅ Đúng", J54="✅ Đúng", L54="✅ Đúng"), "✨ Xuất sắc! Bạn đã làm đúng.", IF(NOT(ISBLANK(K54)), "💡 Gợi ý Tầng 3 (Chốt phương pháp): " &amp; "Chọn từ nối phản ánh chính xác sự so sánh hoặc tương phản logic.", IF(NOT(ISBLANK(I54)), "💡 Gợi ý Tầng 2 (Manh mối cấu trúc &amp; Loại trừ): " &amp; "Xác định mối quan hệ tương đồng hay đối lập giữa hai phát biểu.", "💡 Gợi ý Tầng 1 (Định hướng bối cảnh): " &amp; "So sánh ý nghĩa giữa hai mệnh đề được nối với nhau."))))</f>
        <v/>
      </c>
      <c r="Q54" s="5">
        <f>IF(OR(H54="✅ Đúng", J54="✅ Đúng", L54="✅ Đúng"), "Meanwhile / whereas = nối hai vế đối lập song song.", "🔒 Trả lời đúng để mở khóa Strategic Tip!")</f>
        <v/>
      </c>
    </row>
    <row r="55" ht="15.75" customHeight="1" s="19">
      <c r="A55" s="7" t="inlineStr">
        <is>
          <t>M51</t>
        </is>
      </c>
      <c r="B55" s="7" t="inlineStr">
        <is>
          <t>Reading &amp; Writing Module 2</t>
        </is>
      </c>
      <c r="C55" s="5" t="inlineStr">
        <is>
          <t>Transitions &amp; Discourse Connectors (Emphasis / Reinforcement)</t>
        </is>
      </c>
      <c r="D55" s="5" t="inlineStr">
        <is>
          <t>On June 13, 1927, aviator Charles Lindbergh received a ticker-tape parade in New York City in recognition of his transatlantic flight. Of the 206 ticker-tape parades held between 1886 and 2022, a number were for achievements in aviation. ______ Lindbergh’s parade was just one of 16 honoring pilots.</t>
        </is>
      </c>
      <c r="E55" s="5" t="inlineStr">
        <is>
          <t>Which choice completes the text with the most logical transition?</t>
        </is>
      </c>
      <c r="F55" s="5" t="inlineStr">
        <is>
          <t>A. Therefore,
B. Indeed,
C. In addition,
D. Nevertheless,</t>
        </is>
      </c>
      <c r="G55" s="14" t="n"/>
      <c r="H55" s="7">
        <f>IF(ISBLANK(G55), "⏳ Chờ đáp án", IF(UPPER(TRIM(G55))="B", "✅ Đúng", "❌ Sai"))</f>
        <v/>
      </c>
      <c r="I55" s="14" t="n"/>
      <c r="J55" s="7">
        <f>IF(ISBLANK(I55), "", IF(UPPER(TRIM(I55))="B", "✅ Đúng", "❌ Sai"))</f>
        <v/>
      </c>
      <c r="K55" s="14" t="n"/>
      <c r="L55" s="7">
        <f>IF(ISBLANK(K55), "", IF(UPPER(TRIM(K55))="B", "✅ Đúng", "❌ Sai"))</f>
        <v/>
      </c>
      <c r="M55" s="7">
        <f>COUNTIF(H55, "❌ Sai") + COUNTIF(J55, "❌ Sai") + COUNTIF(L55, "❌ Sai")</f>
        <v/>
      </c>
      <c r="N55" s="7">
        <f>IF(ISBLANK(G55), "⏳ Chờ làm", IF(H55="✅ Đúng", "✅ Đúng ngay L1", IF(J55="✅ Đúng", "✅ Đúng ở L2", IF(L55="✅ Đúng", "✅ Đúng ở L3", "❌ Chưa đúng sau 3 lần"))))</f>
        <v/>
      </c>
      <c r="O55" s="13">
        <f>IF(ISBLANK(F55), "💡 Nhập đáp án vào Lần thử 1", IF(G55="✅ Đúng", "✨ Xuất sắc! Bạn đã làm đúng.", "💡 Gợi ý: " &amp; "Chọn từ nối thể hiện mức độ nhấn mạnh hoặc khẳng định phù hợp với ngữ cảnh."))</f>
        <v/>
      </c>
      <c r="P55" s="5">
        <f>IF(ISBLANK(G55), "💡 Nhập đáp án vào Lần thử 1", IF(OR(H55="✅ Đúng", J55="✅ Đúng", L55="✅ Đúng"), "✨ Xuất sắc! Bạn đã làm đúng.", IF(NOT(ISBLANK(K55)), "💡 Gợi ý Tầng 3 (Chốt phương pháp): " &amp; "Chọn từ nối mang nghĩa 'thật vậy' hoặc 'trên thực tế'.", IF(NOT(ISBLANK(I55)), "💡 Gợi ý Tầng 2 (Manh mối cấu trúc &amp; Loại trừ): " &amp; "Nếu câu thứ hai nhằm nhấn mạnh hoặc khẳng định mạnh mẽ hơn ý trước, chọn từ nối nhấn mạnh.", "💡 Gợi ý Tầng 1 (Định hướng bối cảnh): " &amp; "Phân tích sắc thái của phát biểu ở câu thứ hai."))))</f>
        <v/>
      </c>
      <c r="Q55" s="5">
        <f>IF(OR(H55="✅ Đúng", J55="✅ Đúng", L55="✅ Đúng"), "Indeed = dùng để nhấn mạnh/xác nhận thông tin trước.", "🔒 Trả lời đúng để mở khóa Strategic Tip!")</f>
        <v/>
      </c>
    </row>
    <row r="56" ht="15.75" customHeight="1" s="19">
      <c r="A56" s="7" t="inlineStr">
        <is>
          <t>M52</t>
        </is>
      </c>
      <c r="B56" s="7" t="inlineStr">
        <is>
          <t>Reading &amp; Writing Module 2</t>
        </is>
      </c>
      <c r="C56" s="5" t="inlineStr">
        <is>
          <t>Transitions &amp; Clause-Level Logic (Contrast &amp; Concession)</t>
        </is>
      </c>
      <c r="D56" s="5" t="inlineStr">
        <is>
          <t>Between February 1876 and September 1876, George Eliot’s novel Daniel Deronda was serialized in eight parts in Blackwood’s Magazine. Scholars typically regard the serial version of Eliot’s novel as less authoritative than the version later published in book form. ______ as scholar Philip Allingham notes, serialized texts were the versions in which the nineteenth-century readership first “saw itself and its world reflected, and to which it responded, often with great emotion.”</t>
        </is>
      </c>
      <c r="E56" s="5" t="inlineStr">
        <is>
          <t>Which choice completes the text with the most logical transition?</t>
        </is>
      </c>
      <c r="F56" s="5" t="inlineStr">
        <is>
          <t>A. Accordingly, they emphasize the appeal of the serial version for Victorian audiences;
B. Still, the serial version is important to an understanding of the novel’s historical context;
C. Consequently, the book version of the novel is often favored over the serial version;
D. However, others regard the serial version as a more faithful representation of Eliot’s intentions;</t>
        </is>
      </c>
      <c r="G56" s="14" t="n"/>
      <c r="H56" s="7">
        <f>IF(ISBLANK(G56), "⏳ Chờ đáp án", IF(UPPER(TRIM(G56))="B", "✅ Đúng", "❌ Sai"))</f>
        <v/>
      </c>
      <c r="I56" s="14" t="n"/>
      <c r="J56" s="7">
        <f>IF(ISBLANK(I56), "", IF(UPPER(TRIM(I56))="B", "✅ Đúng", "❌ Sai"))</f>
        <v/>
      </c>
      <c r="K56" s="14" t="n"/>
      <c r="L56" s="7">
        <f>IF(ISBLANK(K56), "", IF(UPPER(TRIM(K56))="B", "✅ Đúng", "❌ Sai"))</f>
        <v/>
      </c>
      <c r="M56" s="7">
        <f>COUNTIF(H56, "❌ Sai") + COUNTIF(J56, "❌ Sai") + COUNTIF(L56, "❌ Sai")</f>
        <v/>
      </c>
      <c r="N56" s="7">
        <f>IF(ISBLANK(G56), "⏳ Chờ làm", IF(H56="✅ Đúng", "✅ Đúng ngay L1", IF(J56="✅ Đúng", "✅ Đúng ở L2", IF(L56="✅ Đúng", "✅ Đúng ở L3", "❌ Chưa đúng sau 3 lần"))))</f>
        <v/>
      </c>
      <c r="O56" s="13">
        <f>IF(ISBLANK(F56), "💡 Nhập đáp án vào Lần thử 1", IF(G56="✅ Đúng", "✨ Xuất sắc! Bạn đã làm đúng.", "💡 Gợi ý: " &amp; "Xác định vai trò của câu sau trong việc chuyển tiếp ý tưởng từ bối cảnh sang thực tế."))</f>
        <v/>
      </c>
      <c r="P56" s="5">
        <f>IF(ISBLANK(G56), "💡 Nhập đáp án vào Lần thử 1", IF(OR(H56="✅ Đúng", J56="✅ Đúng", L56="✅ Đúng"), "✨ Xuất sắc! Bạn đã làm đúng.", IF(NOT(ISBLANK(K56)), "💡 Gợi ý Tầng 3 (Chốt phương pháp): " &amp; "Chọn từ nối liên kết mượt mà và đúng sắc thái chuyển ý.", IF(NOT(ISBLANK(I56)), "💡 Gợi ý Tầng 2 (Manh mối cấu trúc &amp; Loại trừ): " &amp; "Xác định mối quan hệ giữa thông tin thực tế và nhận định được đưa ra.", "💡 Gợi ý Tầng 1 (Định hướng bối cảnh): " &amp; "Xem xét bối cảnh và sự chuyển ý giữa hai đoạn văn."))))</f>
        <v/>
      </c>
      <c r="Q56" s="5">
        <f>IF(OR(H56="✅ Đúng", J56="✅ Đúng", L56="✅ Đúng"), "Still = tuy nhiên, chuyển hướng sang khía cạnh tích cực khác.", "🔒 Trả lời đúng để mở khóa Strategic Tip!")</f>
        <v/>
      </c>
    </row>
    <row r="57" ht="15.75" customHeight="1" s="19">
      <c r="A57" s="7" t="inlineStr">
        <is>
          <t>M53</t>
        </is>
      </c>
      <c r="B57" s="7" t="inlineStr">
        <is>
          <t>Reading &amp; Writing Module 2</t>
        </is>
      </c>
      <c r="C57" s="5" t="inlineStr">
        <is>
          <t>Rhetorical Synthesis (Audience Adaptation / Introducing a Concept)</t>
        </is>
      </c>
      <c r="D57" s="5" t="inlineStr">
        <is>
          <t>•  The Highpointers Club is a hiking club.
•  One of the main goals among club members is to reach the highest points in all fifty US states.
•  Those who achieve this are called 50 Completers.
•  In Suk Han became a 50 Completer on November 15, 2013.
•  The highest point in Wisconsin is Timms Hill, at 1,951 ft.
•  The highest point in Wyoming is Gannett Peak, at 13,809 ft.</t>
        </is>
      </c>
      <c r="E57" s="5" t="inlineStr">
        <is>
          <t>Which choice most effectively uses information from the given sentences to explain the 50 Completers hiking challenge to a new audience?</t>
        </is>
      </c>
      <c r="F57" s="5" t="inlineStr">
        <is>
          <t>A. If you are looking for a new hiking challenge, consider joining the Highpointers Club, as did In Suk Han, a hiker who successfully reached the highest point in every US state.
B. Not until after you have reached the highest points in all fifty US states—including Timms Hill in Wisconsin and Gannett Peak in Wyoming—can you include yourself among the 50 Completers of the Highpointers Club.
C. On November 15, 2013, In Suk Han finally completed the feat of reaching the highest point in all fifty US states, including Timms Hill in Wisconsin and Gannett Peak in Wyoming.
D. Hikers aiming to count themselves among the 50 Completers must reach not only Wisconsin’s Timms Hill but also the even higher peak of Gannett Peak in Wyoming.</t>
        </is>
      </c>
      <c r="G57" s="14" t="n"/>
      <c r="H57" s="7">
        <f>IF(ISBLANK(G57), "⏳ Chờ đáp án", IF(UPPER(TRIM(G57))="B", "✅ Đúng", "❌ Sai"))</f>
        <v/>
      </c>
      <c r="I57" s="14" t="n"/>
      <c r="J57" s="7">
        <f>IF(ISBLANK(I57), "", IF(UPPER(TRIM(I57))="B", "✅ Đúng", "❌ Sai"))</f>
        <v/>
      </c>
      <c r="K57" s="14" t="n"/>
      <c r="L57" s="7">
        <f>IF(ISBLANK(K57), "", IF(UPPER(TRIM(K57))="B", "✅ Đúng", "❌ Sai"))</f>
        <v/>
      </c>
      <c r="M57" s="7">
        <f>COUNTIF(H57, "❌ Sai") + COUNTIF(J57, "❌ Sai") + COUNTIF(L57, "❌ Sai")</f>
        <v/>
      </c>
      <c r="N57" s="7">
        <f>IF(ISBLANK(G57), "⏳ Chờ làm", IF(H57="✅ Đúng", "✅ Đúng ngay L1", IF(J57="✅ Đúng", "✅ Đúng ở L2", IF(L57="✅ Đúng", "✅ Đúng ở L3", "❌ Chưa đúng sau 3 lần"))))</f>
        <v/>
      </c>
      <c r="O57" s="13">
        <f>IF(ISBLANK(F57), "💡 Nhập đáp án vào Lần thử 1", IF(G57="✅ Đúng", "✨ Xuất sắc! Bạn đã làm đúng.", "💡 Gợi ý: " &amp; "Đọc kỹ yêu cầu đề bài để chọn câu ghi chú tập trung đúng vào điểm khác biệt chính."))</f>
        <v/>
      </c>
      <c r="P57" s="5">
        <f>IF(ISBLANK(G57), "💡 Nhập đáp án vào Lần thử 1", IF(OR(H57="✅ Đúng", J57="✅ Đúng", L57="✅ Đúng"), "✨ Xuất sắc! Bạn đã làm đúng.", IF(NOT(ISBLANK(K57)), "💡 Gợi ý Tầng 3 (Chốt phương pháp): " &amp; "Chọn câu tổng hợp đáp ứng chính xác yêu cầu đề bài.", IF(NOT(ISBLANK(I57)), "💡 Gợi ý Tầng 2 (Manh mối cấu trúc &amp; Loại trừ): " &amp; "Lọc danh sách ghi chú để tìm thông tin trực tiếp liên quan đến mục tiêu.", "💡 Gợi ý Tầng 1 (Định hướng bối cảnh): " &amp; "Đọc kỹ yêu cầu đề bài để biết thông tin nào cần được làm nổi bật."))))</f>
        <v/>
      </c>
      <c r="Q57" s="5">
        <f>IF(OR(H57="✅ Đúng", J57="✅ Đúng", L57="✅ Đúng"), "Giải thích thử thách = Nêu điều kiện hoàn thành + Ví dụ các đỉnh núi.", "🔒 Trả lời đúng để mở khóa Strategic Tip!")</f>
        <v/>
      </c>
    </row>
    <row r="58" ht="15.75" customHeight="1" s="19">
      <c r="A58" s="7" t="inlineStr">
        <is>
          <t>M54</t>
        </is>
      </c>
      <c r="B58" s="7" t="inlineStr">
        <is>
          <t>Reading &amp; Writing Module 2</t>
        </is>
      </c>
      <c r="C58" s="5" t="inlineStr">
        <is>
          <t>Rhetorical Synthesis (Achieving a Specific Goal / Superiority Comparison)</t>
        </is>
      </c>
      <c r="D58" s="5" t="inlineStr">
        <is>
          <t>While researching a topic, a student has taken the following notes:
•  Enhanced rock weathering (ERW) is a method of spreading crushed basalt on farmland to capture carbon dioxide (CO2) and improve soil health.
•  ERW increases crop yields and removes harmful CO2 from the air.
•  ERW offers a low-cost, low-tech alternative to expensive, energy-intensive carbon capture methods.
•  The CO2 captured by ERW becomes stable bicarbonate in soil water, which eventually streams into the ocean to remain safely stored for hundreds of years.
•  ERW can improve rural economies by reducing farmers’ need for fertilizers and increasing their earnings from carbon credits.</t>
        </is>
      </c>
      <c r="E58" s="5" t="inlineStr">
        <is>
          <t>The student wants to explain why ERW is a superior method for capturing CO2. Which choice most effectively uses relevant information from the notes to accomplish this goal?</t>
        </is>
      </c>
      <c r="F58" s="5" t="inlineStr">
        <is>
          <t>A. ERW improves soil health and helps farmers increase their income from selling carbon credits.
B. ERW removes CO2 from the air in a way that is both low-cost and low-tech.
C. The CO2 captured by ERW becomes stable bicarbonate, which improves soil health by remaining in the ocean for hundreds of years.
D. ERW is a method of spreading crushed basalt on farmland to capture CO2, improving rural economies.</t>
        </is>
      </c>
      <c r="G58" s="14" t="n"/>
      <c r="H58" s="7">
        <f>IF(ISBLANK(G58), "⏳ Chờ đáp án", IF(UPPER(TRIM(G58))="B", "✅ Đúng", "❌ Sai"))</f>
        <v/>
      </c>
      <c r="I58" s="14" t="n"/>
      <c r="J58" s="7">
        <f>IF(ISBLANK(I58), "", IF(UPPER(TRIM(I58))="B", "✅ Đúng", "❌ Sai"))</f>
        <v/>
      </c>
      <c r="K58" s="14" t="n"/>
      <c r="L58" s="7">
        <f>IF(ISBLANK(K58), "", IF(UPPER(TRIM(K58))="B", "✅ Đúng", "❌ Sai"))</f>
        <v/>
      </c>
      <c r="M58" s="7">
        <f>COUNTIF(H58, "❌ Sai") + COUNTIF(J58, "❌ Sai") + COUNTIF(L58, "❌ Sai")</f>
        <v/>
      </c>
      <c r="N58" s="7">
        <f>IF(ISBLANK(G58), "⏳ Chờ làm", IF(H58="✅ Đúng", "✅ Đúng ngay L1", IF(J58="✅ Đúng", "✅ Đúng ở L2", IF(L58="✅ Đúng", "✅ Đúng ở L3", "❌ Chưa đúng sau 3 lần"))))</f>
        <v/>
      </c>
      <c r="O58" s="13">
        <f>IF(ISBLANK(F58), "💡 Nhập đáp án vào Lần thử 1", IF(G58="✅ Đúng", "✨ Xuất sắc! Bạn đã làm đúng.", "💡 Gợi ý: " &amp; "Chọn ghi chú đáp ứng trực tiếp mục tiêu của học sinh mà không đưa thêm thông tin ngoài lề."))</f>
        <v/>
      </c>
      <c r="P58" s="5">
        <f>IF(ISBLANK(G58), "💡 Nhập đáp án vào Lần thử 1", IF(OR(H58="✅ Đúng", J58="✅ Đúng", L58="✅ Đúng"), "✨ Xuất sắc! Bạn đã làm đúng.", IF(NOT(ISBLANK(K58)), "💡 Gợi ý Tầng 3 (Chốt phương pháp): " &amp; "Chọn câu diễn đạt nêu bật sự đối lập hoặc tương đồng theo yêu cầu.", IF(NOT(ISBLANK(I58)), "💡 Gợi ý Tầng 2 (Manh mối cấu trúc &amp; Loại trừ): " &amp; "Chọn các ghi chú cung cấp dữ liệu đối sánh trực tiếp.", "💡 Gợi ý Tầng 1 (Định hướng bối cảnh): " &amp; "Xác định mục tiêu nhấn mạnh sự khác biệt hay điểm chung giữa hai đối tượng."))))</f>
        <v/>
      </c>
      <c r="Q58" s="5">
        <f>IF(OR(H58="✅ Đúng", J58="✅ Đúng", L58="✅ Đúng"), "Chỉ ra điểm vượt trội trực tiếp: 'low-cost and low-tech alternative'.", "🔒 Trả lời đúng để mở khóa Strategic Tip!")</f>
        <v/>
      </c>
    </row>
    <row r="59" ht="15.75" customHeight="1" s="19">
      <c r="A59" s="7" t="inlineStr">
        <is>
          <t>M55</t>
        </is>
      </c>
      <c r="B59" s="7" t="inlineStr">
        <is>
          <t>Math Module 1</t>
        </is>
      </c>
      <c r="C59" s="5" t="inlineStr">
        <is>
          <t>Linear Functions &amp; Evaluation</t>
        </is>
      </c>
      <c r="D59" s="5" t="inlineStr">
        <is>
          <t>The function h is defined by h(x) = 100x - 50.</t>
        </is>
      </c>
      <c r="E59" s="5" t="inlineStr">
        <is>
          <t>Calculator Allowed. What is the value of h(x) when x = 6?</t>
        </is>
      </c>
      <c r="F59" s="5" t="inlineStr">
        <is>
          <t>A. Lựa chọn A
B. Lựa chọn B
C. Lựa chọn C
D. Lựa chọn D</t>
        </is>
      </c>
      <c r="G59" s="14" t="n"/>
      <c r="H59" s="7">
        <f>IF(ISBLANK(G59), "⏳ Chờ đáp án", IF(UPPER(TRIM(G59))="C", "✅ Đúng", "❌ Sai"))</f>
        <v/>
      </c>
      <c r="I59" s="14" t="n"/>
      <c r="J59" s="7">
        <f>IF(ISBLANK(I59), "", IF(UPPER(TRIM(I59))="C", "✅ Đúng", "❌ Sai"))</f>
        <v/>
      </c>
      <c r="K59" s="14" t="n"/>
      <c r="L59" s="7">
        <f>IF(ISBLANK(K59), "", IF(UPPER(TRIM(K59))="C", "✅ Đúng", "❌ Sai"))</f>
        <v/>
      </c>
      <c r="M59" s="7">
        <f>COUNTIF(H59, "❌ Sai") + COUNTIF(J59, "❌ Sai") + COUNTIF(L59, "❌ Sai")</f>
        <v/>
      </c>
      <c r="N59" s="7">
        <f>IF(ISBLANK(G59), "⏳ Chờ làm", IF(H59="✅ Đúng", "✅ Đúng ngay L1", IF(J59="✅ Đúng", "✅ Đúng ở L2", IF(L59="✅ Đúng", "✅ Đúng ở L3", "❌ Chưa đúng sau 3 lần"))))</f>
        <v/>
      </c>
      <c r="O59" s="13">
        <f>IF(ISBLANK(F59), "💡 Nhập đáp án vào Lần thử 1", IF(G59="✅ Đúng", "✨ Xuất sắc! Bạn đã làm đúng.", "💡 Gợi ý: " &amp; "Thay giá trị x đã cho vào biểu thức hàm số và thực hiện phép tính theo thứ tự ưu tiên."))</f>
        <v/>
      </c>
      <c r="P59" s="5">
        <f>IF(ISBLANK(G59), "💡 Nhập đáp án vào Lần thử 1", IF(OR(H59="✅ Đúng", J59="✅ Đúng", L59="✅ Đúng"), "✨ Xuất sắc! Bạn đã làm đúng.", IF(NOT(ISBLANK(K59)), "💡 Gợi ý Tầng 3 (Chốt phương pháp): " &amp; "Thực hiện phép nhân trước rồi thực hiện phép trừ để tìm giá trị đầu ra.", IF(NOT(ISBLANK(I59)), "💡 Gợi ý Tầng 2 (Manh mối cấu trúc &amp; Loại trừ): " &amp; "Thay giá trị của biến số vào vị trí tương ứng trong công thức hàm số.", "💡 Gợi ý Tầng 1 (Định hướng bối cảnh): " &amp; "Đây là bài toán đánh giá giá trị hàm số tuyến tính h(x) tại một điểm."))))</f>
        <v/>
      </c>
      <c r="Q59" s="5">
        <f>IF(OR(H59="✅ Đúng", J59="✅ Đúng", L59="✅ Đúng"), "Linear Function Evaluation: h(6) = 100(6) - 50 = 550.", "🔒 Trả lời đúng để mở khóa Strategic Tip!")</f>
        <v/>
      </c>
    </row>
    <row r="60" ht="15.75" customHeight="1" s="19">
      <c r="A60" s="7" t="inlineStr">
        <is>
          <t>M56</t>
        </is>
      </c>
      <c r="B60" s="7" t="inlineStr">
        <is>
          <t>Math Module 1</t>
        </is>
      </c>
      <c r="C60" s="5" t="inlineStr">
        <is>
          <t>Linear Graph Interpretation (y-intercept)</t>
        </is>
      </c>
      <c r="D60" s="5" t="inlineStr">
        <is>
          <t>The graph shown gives the estimated value, in dollars, of a mountain bike as a function of the number of months since it was purchased. The line intersects the y-axis at (0, 275).</t>
        </is>
      </c>
      <c r="E60" s="5" t="inlineStr">
        <is>
          <t>Calculator Allowed. What is the best interpretation of the y-intercept of the graph in this context?</t>
        </is>
      </c>
      <c r="F60" s="5" t="inlineStr">
        <is>
          <t>A. Lựa chọn A
B. Lựa chọn B
C. Lựa chọn C
D. Lựa chọn D</t>
        </is>
      </c>
      <c r="G60" s="14" t="n"/>
      <c r="H60" s="7">
        <f>IF(ISBLANK(G60), "⏳ Chờ đáp án", IF(UPPER(TRIM(G60))="A", "✅ Đúng", "❌ Sai"))</f>
        <v/>
      </c>
      <c r="I60" s="14" t="n"/>
      <c r="J60" s="7">
        <f>IF(ISBLANK(I60), "", IF(UPPER(TRIM(I60))="A", "✅ Đúng", "❌ Sai"))</f>
        <v/>
      </c>
      <c r="K60" s="14" t="n"/>
      <c r="L60" s="7">
        <f>IF(ISBLANK(K60), "", IF(UPPER(TRIM(K60))="A", "✅ Đúng", "❌ Sai"))</f>
        <v/>
      </c>
      <c r="M60" s="7">
        <f>COUNTIF(H60, "❌ Sai") + COUNTIF(J60, "❌ Sai") + COUNTIF(L60, "❌ Sai")</f>
        <v/>
      </c>
      <c r="N60" s="7">
        <f>IF(ISBLANK(G60), "⏳ Chờ làm", IF(H60="✅ Đúng", "✅ Đúng ngay L1", IF(J60="✅ Đúng", "✅ Đúng ở L2", IF(L60="✅ Đúng", "✅ Đúng ở L3", "❌ Chưa đúng sau 3 lần"))))</f>
        <v/>
      </c>
      <c r="O60" s="13">
        <f>IF(ISBLANK(F60), "💡 Nhập đáp án vào Lần thử 1", IF(G60="✅ Đúng", "✨ Xuất sắc! Bạn đã làm đúng.", "💡 Gợi ý: " &amp; "Xác định ý nghĩa của tung độ gốc (y-intercept) trên đồ thị ứng với giá trị biến độc lập bằng 0."))</f>
        <v/>
      </c>
      <c r="P60" s="5">
        <f>IF(ISBLANK(G60), "💡 Nhập đáp án vào Lần thử 1", IF(OR(H60="✅ Đúng", J60="✅ Đúng", L60="✅ Đúng"), "✨ Xuất sắc! Bạn đã làm đúng.", IF(NOT(ISBLANK(K60)), "💡 Gợi ý Tầng 3 (Chốt phương pháp): " &amp; "Trong bối cảnh bài toán, t = 0 đại diện cho thời điểm ban đầu khi bắt đầu theo dõi.", IF(NOT(ISBLANK(I60)), "💡 Gợi ý Tầng 2 (Manh mối cấu trúc &amp; Loại trừ): " &amp; "Tung độ gốc là giá trị của y khi biến độc lập t bằng 0.", "💡 Gợi ý Tầng 1 (Định hướng bối cảnh): " &amp; "Phân tích ý nghĩa của tung độ gốc (y-intercept) trên đồ thị bài toán thực tế."))))</f>
        <v/>
      </c>
      <c r="Q60" s="5">
        <f>IF(OR(H60="✅ Đúng", J60="✅ Đúng", L60="✅ Đúng"), "y-intercept (0, b) represents the initial value at time t = 0.", "🔒 Trả lời đúng để mở khóa Strategic Tip!")</f>
        <v/>
      </c>
    </row>
    <row r="61" ht="15.75" customHeight="1" s="19">
      <c r="A61" s="7" t="inlineStr">
        <is>
          <t>M57</t>
        </is>
      </c>
      <c r="B61" s="7" t="inlineStr">
        <is>
          <t>Math Module 1</t>
        </is>
      </c>
      <c r="C61" s="5" t="inlineStr">
        <is>
          <t>Percentages &amp; Basic Calculations</t>
        </is>
      </c>
      <c r="D61" s="5" t="inlineStr">
        <is>
          <t>Out of 200 attempts, 55% were successful.</t>
        </is>
      </c>
      <c r="E61" s="5" t="inlineStr">
        <is>
          <t>Calculator Allowed. How many of these attempts were successful?</t>
        </is>
      </c>
      <c r="F61" s="5" t="inlineStr">
        <is>
          <t>Student-Produced Response (Grid-in)</t>
        </is>
      </c>
      <c r="G61" s="14" t="n"/>
      <c r="H61" s="7">
        <f>IF(ISBLANK(G61), "⏳ Chờ đáp án", IF(UPPER(TRIM(G61))="110", "✅ Đúng", "❌ Sai"))</f>
        <v/>
      </c>
      <c r="I61" s="14" t="n"/>
      <c r="J61" s="7">
        <f>IF(ISBLANK(I61), "", IF(UPPER(TRIM(I61))="110", "✅ Đúng", "❌ Sai"))</f>
        <v/>
      </c>
      <c r="K61" s="14" t="n"/>
      <c r="L61" s="7">
        <f>IF(ISBLANK(K61), "", IF(UPPER(TRIM(K61))="110", "✅ Đúng", "❌ Sai"))</f>
        <v/>
      </c>
      <c r="M61" s="7">
        <f>COUNTIF(H61, "❌ Sai") + COUNTIF(J61, "❌ Sai") + COUNTIF(L61, "❌ Sai")</f>
        <v/>
      </c>
      <c r="N61" s="7">
        <f>IF(ISBLANK(G61), "⏳ Chờ làm", IF(H61="✅ Đúng", "✅ Đúng ngay L1", IF(J61="✅ Đúng", "✅ Đúng ở L2", IF(L61="✅ Đúng", "✅ Đúng ở L3", "❌ Chưa đúng sau 3 lần"))))</f>
        <v/>
      </c>
      <c r="O61" s="13">
        <f>IF(ISBLANK(F61), "💡 Nhập đáp án vào Lần thử 1", IF(G61="✅ Đúng", "✨ Xuất sắc! Bạn đã làm đúng.", "💡 Gợi ý: " &amp; "Sử dụng công thức tính giá trị phần trăm: lấy phần trăm chia cho 100 rồi nhân với tổng số lượng."))</f>
        <v/>
      </c>
      <c r="P61" s="5">
        <f>IF(ISBLANK(G61), "💡 Nhập đáp án vào Lần thử 1", IF(OR(H61="✅ Đúng", J61="✅ Đúng", L61="✅ Đúng"), "✨ Xuất sắc! Bạn đã làm đúng.", IF(NOT(ISBLANK(K61)), "💡 Gợi ý Tầng 3 (Chốt phương pháp): " &amp; "Nhân số thập phân vừa tìm được với giá trị tổng ban đầu.", IF(NOT(ISBLANK(I61)), "💡 Gợi ý Tầng 2 (Manh mối cấu trúc &amp; Loại trừ): " &amp; "Chuyển đổi tỉ lệ phần trăm thành số thập phân bằng cách chia cho 100.", "💡 Gợi ý Tầng 1 (Định hướng bối cảnh): " &amp; "Bài toán yêu cầu tính giá trị phần trăm của một số nguyên cho trước."))))</f>
        <v/>
      </c>
      <c r="Q61" s="5">
        <f>IF(OR(H61="✅ Đúng", J61="✅ Đúng", L61="✅ Đúng"), "Percent of Total: Number = Percentage * Total = 0.55 * 200 = 110.", "🔒 Trả lời đúng để mở khóa Strategic Tip!")</f>
        <v/>
      </c>
    </row>
    <row r="62" ht="15.75" customHeight="1" s="19">
      <c r="A62" s="7" t="inlineStr">
        <is>
          <t>M58</t>
        </is>
      </c>
      <c r="B62" s="7" t="inlineStr">
        <is>
          <t>Math Module 1</t>
        </is>
      </c>
      <c r="C62" s="5" t="inlineStr">
        <is>
          <t>Equivalent Algebraic Expressions</t>
        </is>
      </c>
      <c r="D62" s="5" t="inlineStr">
        <is>
          <t>Given the expression: 29x^2 + 29.</t>
        </is>
      </c>
      <c r="E62" s="5" t="inlineStr">
        <is>
          <t>Calculator Allowed. Which expression is equivalent to 29x^2 + 29?</t>
        </is>
      </c>
      <c r="F62" s="5" t="inlineStr">
        <is>
          <t>A. Lựa chọn A
B. Lựa chọn B
C. Lựa chọn C
D. Lựa chọn D</t>
        </is>
      </c>
      <c r="G62" s="14" t="n"/>
      <c r="H62" s="7">
        <f>IF(ISBLANK(G62), "⏳ Chờ đáp án", IF(UPPER(TRIM(G62))="A", "✅ Đúng", "❌ Sai"))</f>
        <v/>
      </c>
      <c r="I62" s="14" t="n"/>
      <c r="J62" s="7">
        <f>IF(ISBLANK(I62), "", IF(UPPER(TRIM(I62))="A", "✅ Đúng", "❌ Sai"))</f>
        <v/>
      </c>
      <c r="K62" s="14" t="n"/>
      <c r="L62" s="7">
        <f>IF(ISBLANK(K62), "", IF(UPPER(TRIM(K62))="A", "✅ Đúng", "❌ Sai"))</f>
        <v/>
      </c>
      <c r="M62" s="7">
        <f>COUNTIF(H62, "❌ Sai") + COUNTIF(J62, "❌ Sai") + COUNTIF(L62, "❌ Sai")</f>
        <v/>
      </c>
      <c r="N62" s="7">
        <f>IF(ISBLANK(G62), "⏳ Chờ làm", IF(H62="✅ Đúng", "✅ Đúng ngay L1", IF(J62="✅ Đúng", "✅ Đúng ở L2", IF(L62="✅ Đúng", "✅ Đúng ở L3", "❌ Chưa đúng sau 3 lần"))))</f>
        <v/>
      </c>
      <c r="O62" s="13">
        <f>IF(ISBLANK(F62), "💡 Nhập đáp án vào Lần thử 1", IF(G62="✅ Đúng", "✨ Xuất sắc! Bạn đã làm đúng.", "💡 Gợi ý: " &amp; "Nhóm các số hạng đồng dạng hoặc biến đổi biểu thức theo các quy tắc đại số cơ bản."))</f>
        <v/>
      </c>
      <c r="P62" s="5">
        <f>IF(ISBLANK(G62), "💡 Nhập đáp án vào Lần thử 1", IF(OR(H62="✅ Đúng", J62="✅ Đúng", L62="✅ Đúng"), "✨ Xuất sắc! Bạn đã làm đúng.", IF(NOT(ISBLANK(K62)), "💡 Gợi ý Tầng 3 (Chốt phương pháp): " &amp; "Đặt nhân tử chung ra ngoài dấu ngoặc và viết lại phần còn lại bên trong.", IF(NOT(ISBLANK(I62)), "💡 Gợi ý Tầng 2 (Manh mối cấu trúc &amp; Loại trừ): " &amp; "Quan sát các hệ số của từng số hạng để tìm nhân tử chung lớn nhất.", "💡 Gợi ý Tầng 1 (Định hướng bối cảnh): " &amp; "Bài toán yêu cầu tìm biểu thức đại số tương đương bằng cách nhóm thừa số chung."))))</f>
        <v/>
      </c>
      <c r="Q62" s="5">
        <f>IF(OR(H62="✅ Đúng", J62="✅ Đúng", L62="✅ Đúng"), "Factoring Out Common Factor: 29x^2 + 29 = 29(x^2 + 1).", "🔒 Trả lời đúng để mở khóa Strategic Tip!")</f>
        <v/>
      </c>
    </row>
    <row r="63" ht="15.75" customHeight="1" s="19">
      <c r="A63" s="7" t="inlineStr">
        <is>
          <t>M59</t>
        </is>
      </c>
      <c r="B63" s="7" t="inlineStr">
        <is>
          <t>Math Module 1</t>
        </is>
      </c>
      <c r="C63" s="5" t="inlineStr">
        <is>
          <t>Solving Linear Equations</t>
        </is>
      </c>
      <c r="D63" s="5" t="inlineStr">
        <is>
          <t>Given the equation: 2(x - 3) = 2(90).</t>
        </is>
      </c>
      <c r="E63" s="5" t="inlineStr">
        <is>
          <t>Calculator Allowed. What is the value of x - 3?</t>
        </is>
      </c>
      <c r="F63" s="5" t="inlineStr">
        <is>
          <t>A. Lựa chọn A
B. Lựa chọn B
C. Lựa chọn C
D. Lựa chọn D</t>
        </is>
      </c>
      <c r="G63" s="14" t="n"/>
      <c r="H63" s="7">
        <f>IF(ISBLANK(G63), "⏳ Chờ đáp án", IF(UPPER(TRIM(G63))="C", "✅ Đúng", "❌ Sai"))</f>
        <v/>
      </c>
      <c r="I63" s="14" t="n"/>
      <c r="J63" s="7">
        <f>IF(ISBLANK(I63), "", IF(UPPER(TRIM(I63))="C", "✅ Đúng", "❌ Sai"))</f>
        <v/>
      </c>
      <c r="K63" s="14" t="n"/>
      <c r="L63" s="7">
        <f>IF(ISBLANK(K63), "", IF(UPPER(TRIM(K63))="C", "✅ Đúng", "❌ Sai"))</f>
        <v/>
      </c>
      <c r="M63" s="7">
        <f>COUNTIF(H63, "❌ Sai") + COUNTIF(J63, "❌ Sai") + COUNTIF(L63, "❌ Sai")</f>
        <v/>
      </c>
      <c r="N63" s="7">
        <f>IF(ISBLANK(G63), "⏳ Chờ làm", IF(H63="✅ Đúng", "✅ Đúng ngay L1", IF(J63="✅ Đúng", "✅ Đúng ở L2", IF(L63="✅ Đúng", "✅ Đúng ở L3", "❌ Chưa đúng sau 3 lần"))))</f>
        <v/>
      </c>
      <c r="O63" s="13">
        <f>IF(ISBLANK(F63), "💡 Nhập đáp án vào Lần thử 1", IF(G63="✅ Đúng", "✨ Xuất sắc! Bạn đã làm đúng.", "💡 Gợi ý: " &amp; "Biến đổi phương trình bằng cách chuyển các số hạng chứa ẩn về một vế và hằng số về vế còn lại."))</f>
        <v/>
      </c>
      <c r="P63" s="5">
        <f>IF(ISBLANK(G63), "💡 Nhập đáp án vào Lần thử 1", IF(OR(H63="✅ Đúng", J63="✅ Đúng", L63="✅ Đúng"), "✨ Xuất sắc! Bạn đã làm đúng.", IF(NOT(ISBLANK(K63)), "💡 Gợi ý Tầng 3 (Chốt phương pháp): " &amp; "Chia cả hai vế cho hệ số của ẩn số để tìm giá trị cần tìm.", IF(NOT(ISBLANK(I63)), "💡 Gợi ý Tầng 2 (Manh mối cấu trúc &amp; Loại trừ): " &amp; "Sử dụng các phép biến đổi tương đương để cô lập biến số về một vế.", "💡 Gợi ý Tầng 1 (Định hướng bối cảnh): " &amp; "Đây là phương trình tuyến tính một ẩn đơn giản."))))</f>
        <v/>
      </c>
      <c r="Q63" s="5">
        <f>IF(OR(H63="✅ Đúng", J63="✅ Đúng", L63="✅ Đúng"), "Divide both sides by 2 directly: x - 3 = 90.", "🔒 Trả lời đúng để mở khóa Strategic Tip!")</f>
        <v/>
      </c>
    </row>
    <row r="64" ht="15.75" customHeight="1" s="19">
      <c r="A64" s="7" t="inlineStr">
        <is>
          <t>M60</t>
        </is>
      </c>
      <c r="B64" s="7" t="inlineStr">
        <is>
          <t>Math Module 1</t>
        </is>
      </c>
      <c r="C64" s="5" t="inlineStr">
        <is>
          <t>Rates &amp; Unit Conversion</t>
        </is>
      </c>
      <c r="D64" s="5" t="inlineStr">
        <is>
          <t>A commercial water pump drains water from a reservoir at a constant rate of 180 gallons per minute.</t>
        </is>
      </c>
      <c r="E64" s="5" t="inlineStr">
        <is>
          <t>Calculator Allowed. At this rate, how many hours will it take to drain 32,400 gallons of water?</t>
        </is>
      </c>
      <c r="F64" s="5" t="inlineStr">
        <is>
          <t>A. Lựa chọn A
B. Lựa chọn B
C. Lựa chọn C
D. Lựa chọn D</t>
        </is>
      </c>
      <c r="G64" s="14" t="n"/>
      <c r="H64" s="7">
        <f>IF(ISBLANK(G64), "⏳ Chờ đáp án", IF(UPPER(TRIM(G64))="B", "✅ Đúng", "❌ Sai"))</f>
        <v/>
      </c>
      <c r="I64" s="14" t="n"/>
      <c r="J64" s="7">
        <f>IF(ISBLANK(I64), "", IF(UPPER(TRIM(I64))="B", "✅ Đúng", "❌ Sai"))</f>
        <v/>
      </c>
      <c r="K64" s="14" t="n"/>
      <c r="L64" s="7">
        <f>IF(ISBLANK(K64), "", IF(UPPER(TRIM(K64))="B", "✅ Đúng", "❌ Sai"))</f>
        <v/>
      </c>
      <c r="M64" s="7">
        <f>COUNTIF(H64, "❌ Sai") + COUNTIF(J64, "❌ Sai") + COUNTIF(L64, "❌ Sai")</f>
        <v/>
      </c>
      <c r="N64" s="7">
        <f>IF(ISBLANK(G64), "⏳ Chờ làm", IF(H64="✅ Đúng", "✅ Đúng ngay L1", IF(J64="✅ Đúng", "✅ Đúng ở L2", IF(L64="✅ Đúng", "✅ Đúng ở L3", "❌ Chưa đúng sau 3 lần"))))</f>
        <v/>
      </c>
      <c r="O64" s="13">
        <f>IF(ISBLANK(F64), "💡 Nhập đáp án vào Lần thử 1", IF(G64="✅ Đúng", "✨ Xuất sắc! Bạn đã làm đúng.", "💡 Gợi ý: " &amp; "Áp dụng công thức tỉ lệ hoặc chuyển đổi đơn vị đo lường tương ứng để tính toán."))</f>
        <v/>
      </c>
      <c r="P64" s="5">
        <f>IF(ISBLANK(G64), "💡 Nhập đáp án vào Lần thử 1", IF(OR(H64="✅ Đúng", J64="✅ Đúng", L64="✅ Đúng"), "✨ Xuất sắc! Bạn đã làm đúng.", IF(NOT(ISBLANK(K64)), "💡 Gợi ý Tầng 3 (Chốt phương pháp): " &amp; "Triệt tiêu các đơn vị trung gian để thu được đơn vị kết quả mong muốn.", IF(NOT(ISBLANK(I64)), "💡 Gợi ý Tầng 2 (Manh mối cấu trúc &amp; Loại trừ): " &amp; "Thiết lập tỉ lệ chuyển đổi đơn vị theo phương pháp dây chuyền.", "💡 Gợi ý Tầng 1 (Định hướng bối cảnh): " &amp; "Bài toán đổi đơn vị đo lường hoặc tính tốc độ trung bình."))))</f>
        <v/>
      </c>
      <c r="Q64" s="5">
        <f>IF(OR(H64="✅ Đúng", J64="✅ Đúng", L64="✅ Đúng"), "Time (hours) = Total Gallons / (Rate per min * 60 min/hr) = 32,400 / (180 * 60) = 3.", "🔒 Trả lời đúng để mở khóa Strategic Tip!")</f>
        <v/>
      </c>
    </row>
    <row r="65" ht="15.75" customHeight="1" s="19">
      <c r="A65" s="7" t="inlineStr">
        <is>
          <t>M61</t>
        </is>
      </c>
      <c r="B65" s="7" t="inlineStr">
        <is>
          <t>Math Module 1</t>
        </is>
      </c>
      <c r="C65" s="5" t="inlineStr">
        <is>
          <t>Linear Equations in Two Variables</t>
        </is>
      </c>
      <c r="D65" s="5" t="inlineStr">
        <is>
          <t>The equation 4.57x + 6.08y = 902.07 represents a situation where x is the number of smaller bottles sold and y is the number of larger bottles sold.</t>
        </is>
      </c>
      <c r="E65" s="5" t="inlineStr">
        <is>
          <t>Calculator Allowed. According to the equation, what is the price, in dollars, of each smaller bottle?</t>
        </is>
      </c>
      <c r="F65" s="5" t="inlineStr">
        <is>
          <t>Student-Produced Response (Grid-in)</t>
        </is>
      </c>
      <c r="G65" s="14" t="n"/>
      <c r="H65" s="7">
        <f>IF(ISBLANK(G65), "⏳ Chờ đáp án", IF(UPPER(TRIM(G65))="4.57", "✅ Đúng", "❌ Sai"))</f>
        <v/>
      </c>
      <c r="I65" s="14" t="n"/>
      <c r="J65" s="7">
        <f>IF(ISBLANK(I65), "", IF(UPPER(TRIM(I65))="4.57", "✅ Đúng", "❌ Sai"))</f>
        <v/>
      </c>
      <c r="K65" s="14" t="n"/>
      <c r="L65" s="7">
        <f>IF(ISBLANK(K65), "", IF(UPPER(TRIM(K65))="4.57", "✅ Đúng", "❌ Sai"))</f>
        <v/>
      </c>
      <c r="M65" s="7">
        <f>COUNTIF(H65, "❌ Sai") + COUNTIF(J65, "❌ Sai") + COUNTIF(L65, "❌ Sai")</f>
        <v/>
      </c>
      <c r="N65" s="7">
        <f>IF(ISBLANK(G65), "⏳ Chờ làm", IF(H65="✅ Đúng", "✅ Đúng ngay L1", IF(J65="✅ Đúng", "✅ Đúng ở L2", IF(L65="✅ Đúng", "✅ Đúng ở L3", "❌ Chưa đúng sau 3 lần"))))</f>
        <v/>
      </c>
      <c r="O65" s="13">
        <f>IF(ISBLANK(F65), "💡 Nhập đáp án vào Lần thử 1", IF(G65="✅ Đúng", "✨ Xuất sắc! Bạn đã làm đúng.", "💡 Gợi ý: " &amp; "Lập hệ phương trình hoặc phương trình tuyến tính thể hiện mối quan hệ giữa hai đại lượng."))</f>
        <v/>
      </c>
      <c r="P65" s="5">
        <f>IF(ISBLANK(G65), "💡 Nhập đáp án vào Lần thử 1", IF(OR(H65="✅ Đúng", J65="✅ Đúng", L65="✅ Đúng"), "✨ Xuất sắc! Bạn đã làm đúng.", IF(NOT(ISBLANK(K65)), "💡 Gợi ý Tầng 3 (Chốt phương pháp): " &amp; "Lập phương trình ax + by = C và biến đổi đại số để tìm đại lượng yêu cầu.", IF(NOT(ISBLANK(I65)), "💡 Gợi ý Tầng 2 (Manh mối cấu trúc &amp; Loại trừ): " &amp; "Xác định đơn giá cố định cho mỗi đại lượng và tổng chi phí toàn bộ.", "💡 Gợi ý Tầng 1 (Định hướng bối cảnh): " &amp; "Bài toán thiết lập phương trình tuyến tính hai ẩn dựa trên dữ kiện thực tế."))))</f>
        <v/>
      </c>
      <c r="Q65" s="5">
        <f>IF(OR(H65="✅ Đúng", J65="✅ Đúng", L65="✅ Đúng"), "In Total Cost = a*x + b*y, the coefficient 'a' represents the price per unit x.", "🔒 Trả lời đúng để mở khóa Strategic Tip!")</f>
        <v/>
      </c>
    </row>
    <row r="66" ht="15.75" customHeight="1" s="19">
      <c r="A66" s="7" t="inlineStr">
        <is>
          <t>M62</t>
        </is>
      </c>
      <c r="B66" s="7" t="inlineStr">
        <is>
          <t>Math Module 1</t>
        </is>
      </c>
      <c r="C66" s="5" t="inlineStr">
        <is>
          <t>Similar Triangles &amp; Proportions</t>
        </is>
      </c>
      <c r="D66" s="5" t="inlineStr">
        <is>
          <t>Triangle ABC is similar to triangle XYZ, where A, B, and C correspond to X, Y, and Z, respectively. In triangle ABC, AB = 180 and BC = 900. In triangle XYZ, YZ = 80.</t>
        </is>
      </c>
      <c r="E66" s="5" t="inlineStr">
        <is>
          <t>Calculator Allowed. What is the length of XY?</t>
        </is>
      </c>
      <c r="F66" s="5" t="inlineStr">
        <is>
          <t>A. Lựa chọn A
B. Lựa chọn B
C. Lựa chọn C
D. Lựa chọn D</t>
        </is>
      </c>
      <c r="G66" s="14" t="n"/>
      <c r="H66" s="7">
        <f>IF(ISBLANK(G66), "⏳ Chờ đáp án", IF(UPPER(TRIM(G66))="D", "✅ Đúng", "❌ Sai"))</f>
        <v/>
      </c>
      <c r="I66" s="14" t="n"/>
      <c r="J66" s="7">
        <f>IF(ISBLANK(I66), "", IF(UPPER(TRIM(I66))="D", "✅ Đúng", "❌ Sai"))</f>
        <v/>
      </c>
      <c r="K66" s="14" t="n"/>
      <c r="L66" s="7">
        <f>IF(ISBLANK(K66), "", IF(UPPER(TRIM(K66))="D", "✅ Đúng", "❌ Sai"))</f>
        <v/>
      </c>
      <c r="M66" s="7">
        <f>COUNTIF(H66, "❌ Sai") + COUNTIF(J66, "❌ Sai") + COUNTIF(L66, "❌ Sai")</f>
        <v/>
      </c>
      <c r="N66" s="7">
        <f>IF(ISBLANK(G66), "⏳ Chờ làm", IF(H66="✅ Đúng", "✅ Đúng ngay L1", IF(J66="✅ Đúng", "✅ Đúng ở L2", IF(L66="✅ Đúng", "✅ Đúng ở L3", "❌ Chưa đúng sau 3 lần"))))</f>
        <v/>
      </c>
      <c r="O66" s="13">
        <f>IF(ISBLANK(F66), "💡 Nhập đáp án vào Lần thử 1", IF(G66="✅ Đúng", "✨ Xuất sắc! Bạn đã làm đúng.", "💡 Gợi ý: " &amp; "Sử dụng tính chất tam giác đồng dạng để lập tỉ lệ giữa các cạnh tương ứng."))</f>
        <v/>
      </c>
      <c r="P66" s="5">
        <f>IF(ISBLANK(G66), "💡 Nhập đáp án vào Lần thử 1", IF(OR(H66="✅ Đúng", J66="✅ Đúng", L66="✅ Đúng"), "✨ Xuất sắc! Bạn đã làm đúng.", IF(NOT(ISBLANK(K66)), "💡 Gợi ý Tầng 3 (Chốt phương pháp): " &amp; "Thay các độ dài đã biết vào tỉ lệ thức và giải phương trình tìm độ dài cạnh còn lại.", IF(NOT(ISBLANK(I66)), "💡 Gợi ý Tầng 2 (Manh mối cấu trúc &amp; Loại trừ): " &amp; "Lập tỉ lệ giữa các cặp cạnh tương ứng của hai tam giác.", "💡 Gợi ý Tầng 1 (Định hướng bối cảnh): " &amp; "Áp dụng tính chất của hai tam giác đồng dạng."))))</f>
        <v/>
      </c>
      <c r="Q66" s="5">
        <f>IF(OR(H66="✅ Đúng", J66="✅ Đúng", L66="✅ Đúng"), "Similar Triangles Ratio: AB / XY = BC / YZ =&gt; 180 / XY = 900 / 80 =&gt; XY = 16.", "🔒 Trả lời đúng để mở khóa Strategic Tip!")</f>
        <v/>
      </c>
    </row>
    <row r="67" ht="15.75" customHeight="1" s="19">
      <c r="A67" s="7" t="inlineStr">
        <is>
          <t>M63</t>
        </is>
      </c>
      <c r="B67" s="7" t="inlineStr">
        <is>
          <t>Math Module 1</t>
        </is>
      </c>
      <c r="C67" s="5" t="inlineStr">
        <is>
          <t>Absolute Value Equations</t>
        </is>
      </c>
      <c r="D67" s="5" t="inlineStr">
        <is>
          <t>Given the equation: |x - 43| = 0.</t>
        </is>
      </c>
      <c r="E67" s="5" t="inlineStr">
        <is>
          <t>Calculator Allowed. Which value is a solution to the given equation?</t>
        </is>
      </c>
      <c r="F67" s="5" t="inlineStr">
        <is>
          <t>A. Lựa chọn A
B. Lựa chọn B
C. Lựa chọn C
D. Lựa chọn D</t>
        </is>
      </c>
      <c r="G67" s="14" t="n"/>
      <c r="H67" s="7">
        <f>IF(ISBLANK(G67), "⏳ Chờ đáp án", IF(UPPER(TRIM(G67))="D", "✅ Đúng", "❌ Sai"))</f>
        <v/>
      </c>
      <c r="I67" s="14" t="n"/>
      <c r="J67" s="7">
        <f>IF(ISBLANK(I67), "", IF(UPPER(TRIM(I67))="D", "✅ Đúng", "❌ Sai"))</f>
        <v/>
      </c>
      <c r="K67" s="14" t="n"/>
      <c r="L67" s="7">
        <f>IF(ISBLANK(K67), "", IF(UPPER(TRIM(K67))="D", "✅ Đúng", "❌ Sai"))</f>
        <v/>
      </c>
      <c r="M67" s="7">
        <f>COUNTIF(H67, "❌ Sai") + COUNTIF(J67, "❌ Sai") + COUNTIF(L67, "❌ Sai")</f>
        <v/>
      </c>
      <c r="N67" s="7">
        <f>IF(ISBLANK(G67), "⏳ Chờ làm", IF(H67="✅ Đúng", "✅ Đúng ngay L1", IF(J67="✅ Đúng", "✅ Đúng ở L2", IF(L67="✅ Đúng", "✅ Đúng ở L3", "❌ Chưa đúng sau 3 lần"))))</f>
        <v/>
      </c>
      <c r="O67" s="13">
        <f>IF(ISBLANK(F67), "💡 Nhập đáp án vào Lần thử 1", IF(G67="✅ Đúng", "✨ Xuất sắc! Bạn đã làm đúng.", "💡 Gợi ý: " &amp; "Phân tích phương trình chứa giá trị tuyệt đối thành hai trường hợp tương ứng với dấu dương và âm."))</f>
        <v/>
      </c>
      <c r="P67" s="5">
        <f>IF(ISBLANK(G67), "💡 Nhập đáp án vào Lần thử 1", IF(OR(H67="✅ Đúng", J67="✅ Đúng", L67="✅ Đúng"), "✨ Xuất sắc! Bạn đã làm đúng.", IF(NOT(ISBLANK(K67)), "💡 Gợi ý Tầng 3 (Chốt phương pháp): " &amp; "Giải từng phương trình tuyến tính để tìm tập nghiệm.", IF(NOT(ISBLANK(I67)), "💡 Gợi ý Tầng 2 (Manh mối cấu trúc &amp; Loại trừ): " &amp; "Chia thành hai trường hợp: f(x) = c hoặc f(x) = -c.", "💡 Gợi ý Tầng 1 (Định hướng bối cảnh): " &amp; "Giải phương trình chứa dấu giá trị tuyệt đối |f(x)| = c."))))</f>
        <v/>
      </c>
      <c r="Q67" s="5">
        <f>IF(OR(H67="✅ Đúng", J67="✅ Đúng", L67="✅ Đúng"), "|A| = 0 implies A = 0 =&gt; x = 43.", "🔒 Trả lời đúng để mở khóa Strategic Tip!")</f>
        <v/>
      </c>
    </row>
    <row r="68" ht="15.75" customHeight="1" s="19">
      <c r="A68" s="7" t="inlineStr">
        <is>
          <t>M64</t>
        </is>
      </c>
      <c r="B68" s="7" t="inlineStr">
        <is>
          <t>Math Module 1</t>
        </is>
      </c>
      <c r="C68" s="5" t="inlineStr">
        <is>
          <t>Finding Line Equation from Points</t>
        </is>
      </c>
      <c r="D68" s="5" t="inlineStr">
        <is>
          <t>In the xy-plane, line k passes through the points (0, -8) and (1, -5).</t>
        </is>
      </c>
      <c r="E68" s="5" t="inlineStr">
        <is>
          <t>Calculator Allowed. Which equation defines line k?</t>
        </is>
      </c>
      <c r="F68" s="5" t="inlineStr">
        <is>
          <t>A. Lựa chọn A
B. Lựa chọn B
C. Lựa chọn C
D. Lựa chọn D</t>
        </is>
      </c>
      <c r="G68" s="14" t="n"/>
      <c r="H68" s="7">
        <f>IF(ISBLANK(G68), "⏳ Chờ đáp án", IF(UPPER(TRIM(G68))="C", "✅ Đúng", "❌ Sai"))</f>
        <v/>
      </c>
      <c r="I68" s="14" t="n"/>
      <c r="J68" s="7">
        <f>IF(ISBLANK(I68), "", IF(UPPER(TRIM(I68))="C", "✅ Đúng", "❌ Sai"))</f>
        <v/>
      </c>
      <c r="K68" s="14" t="n"/>
      <c r="L68" s="7">
        <f>IF(ISBLANK(K68), "", IF(UPPER(TRIM(K68))="C", "✅ Đúng", "❌ Sai"))</f>
        <v/>
      </c>
      <c r="M68" s="7">
        <f>COUNTIF(H68, "❌ Sai") + COUNTIF(J68, "❌ Sai") + COUNTIF(L68, "❌ Sai")</f>
        <v/>
      </c>
      <c r="N68" s="7">
        <f>IF(ISBLANK(G68), "⏳ Chờ làm", IF(H68="✅ Đúng", "✅ Đúng ngay L1", IF(J68="✅ Đúng", "✅ Đúng ở L2", IF(L68="✅ Đúng", "✅ Đúng ở L3", "❌ Chưa đúng sau 3 lần"))))</f>
        <v/>
      </c>
      <c r="O68" s="13">
        <f>IF(ISBLANK(F68), "💡 Nhập đáp án vào Lần thử 1", IF(G68="✅ Đúng", "✨ Xuất sắc! Bạn đã làm đúng.", "💡 Gợi ý: " &amp; "Tính hệ số góc m = (y2 - y1)/(x2 - x1) rồi thay tọa độ một điểm vào để tìm phương trình đường thẳng."))</f>
        <v/>
      </c>
      <c r="P68" s="5">
        <f>IF(ISBLANK(G68), "💡 Nhập đáp án vào Lần thử 1", IF(OR(H68="✅ Đúng", J68="✅ Đúng", L68="✅ Đúng"), "✨ Xuất sắc! Bạn đã làm đúng.", IF(NOT(ISBLANK(K68)), "💡 Gợi ý Tầng 3 (Chốt phương pháp): " &amp; "Thay tọa độ một điểm và m vào dạng y = mx + b để tìm tung độ gốc b.", IF(NOT(ISBLANK(I68)), "💡 Gợi ý Tầng 2 (Manh mối cấu trúc &amp; Loại trừ): " &amp; "Tính hệ số góc m bằng công thức (y2 - y1) / (x2 - x1).", "💡 Gợi ý Tầng 1 (Định hướng bối cảnh): " &amp; "Bài toán tìm phương trình đường thẳng đi qua hai điểm cho trước."))))</f>
        <v/>
      </c>
      <c r="Q68" s="5">
        <f>IF(OR(H68="✅ Đúng", J68="✅ Đúng", L68="✅ Đúng"), "Slope m = (y2 - y1)/(x2 - x1) = 3, y-intercept = -8 =&gt; y = 3x - 8.", "🔒 Trả lời đúng để mở khóa Strategic Tip!")</f>
        <v/>
      </c>
    </row>
    <row r="69" ht="15.75" customHeight="1" s="19">
      <c r="A69" s="7" t="inlineStr">
        <is>
          <t>M65</t>
        </is>
      </c>
      <c r="B69" s="7" t="inlineStr">
        <is>
          <t>Math Module 1</t>
        </is>
      </c>
      <c r="C69" s="5" t="inlineStr">
        <is>
          <t>Scatterplot Best-Fit Line Model</t>
        </is>
      </c>
      <c r="D69" s="5" t="inlineStr">
        <is>
          <t>A scatterplot shows data points with a positive slope passing near (0, 0.2) and (4, 9.2).</t>
        </is>
      </c>
      <c r="E69" s="5" t="inlineStr">
        <is>
          <t>Calculator Allowed. Which equation is the most appropriate linear model for the data?</t>
        </is>
      </c>
      <c r="F69" s="5" t="inlineStr">
        <is>
          <t>A. Lựa chọn A
B. Lựa chọn B
C. Lựa chọn C
D. Lựa chọn D</t>
        </is>
      </c>
      <c r="G69" s="14" t="n"/>
      <c r="H69" s="7">
        <f>IF(ISBLANK(G69), "⏳ Chờ đáp án", IF(UPPER(TRIM(G69))="A", "✅ Đúng", "❌ Sai"))</f>
        <v/>
      </c>
      <c r="I69" s="14" t="n"/>
      <c r="J69" s="7">
        <f>IF(ISBLANK(I69), "", IF(UPPER(TRIM(I69))="A", "✅ Đúng", "❌ Sai"))</f>
        <v/>
      </c>
      <c r="K69" s="14" t="n"/>
      <c r="L69" s="7">
        <f>IF(ISBLANK(K69), "", IF(UPPER(TRIM(K69))="A", "✅ Đúng", "❌ Sai"))</f>
        <v/>
      </c>
      <c r="M69" s="7">
        <f>COUNTIF(H69, "❌ Sai") + COUNTIF(J69, "❌ Sai") + COUNTIF(L69, "❌ Sai")</f>
        <v/>
      </c>
      <c r="N69" s="7">
        <f>IF(ISBLANK(G69), "⏳ Chờ làm", IF(H69="✅ Đúng", "✅ Đúng ngay L1", IF(J69="✅ Đúng", "✅ Đúng ở L2", IF(L69="✅ Đúng", "✅ Đúng ở L3", "❌ Chưa đúng sau 3 lần"))))</f>
        <v/>
      </c>
      <c r="O69" s="13">
        <f>IF(ISBLANK(F69), "💡 Nhập đáp án vào Lần thử 1", IF(G69="✅ Đúng", "✨ Xuất sắc! Bạn đã làm đúng.", "💡 Gợi ý: " &amp; "Đọc tọa độ các điểm trên biểu đồ phân tán và kiểm tra độ dốc/tung độ gốc của đường tiệm cận."))</f>
        <v/>
      </c>
      <c r="P69" s="5">
        <f>IF(ISBLANK(G69), "💡 Nhập đáp án vào Lần thử 1", IF(OR(H69="✅ Đúng", J69="✅ Đúng", L69="✅ Đúng"), "✨ Xuất sắc! Bạn đã làm đúng.", IF(NOT(ISBLANK(K69)), "💡 Gợi ý Tầng 3 (Chốt phương pháp): " &amp; "Đối chiếu hệ số góc và tung độ gốc ước lượng với các phương án.", IF(NOT(ISBLANK(I69)), "💡 Gợi ý Tầng 2 (Manh mối cấu trúc &amp; Loại trừ): " &amp; "Xác định xu hướng tăng/giảm (hệ số góc dương hay âm) và tung độ gốc trên đồ thị.", "💡 Gợi ý Tầng 1 (Định hướng bối cảnh): " &amp; "Phân tích đường tiệm cận/đường xu hướng (best-fit line) trên biểu đồ phân tán."))))</f>
        <v/>
      </c>
      <c r="Q69" s="5">
        <f>IF(OR(H69="✅ Đúng", J69="✅ Đúng", L69="✅ Đúng"), "Linear Model: y = b + m*x where b ≈ 0.2 and m ≈ 2.25.", "🔒 Trả lời đúng để mở khóa Strategic Tip!")</f>
        <v/>
      </c>
    </row>
    <row r="70" ht="15.75" customHeight="1" s="19">
      <c r="A70" s="7" t="inlineStr">
        <is>
          <t>M66</t>
        </is>
      </c>
      <c r="B70" s="7" t="inlineStr">
        <is>
          <t>Math Module 1</t>
        </is>
      </c>
      <c r="C70" s="5" t="inlineStr">
        <is>
          <t>Rational Function Intercepts</t>
        </is>
      </c>
      <c r="D70" s="5" t="inlineStr">
        <is>
          <t>Given the function y = (21 - x) / (ax + b), where a and b are positive constants.</t>
        </is>
      </c>
      <c r="E70" s="5" t="inlineStr">
        <is>
          <t>Calculator Allowed. What is the x-intercept of the graph in the xy-plane?</t>
        </is>
      </c>
      <c r="F70" s="5" t="inlineStr">
        <is>
          <t>A. Lựa chọn A
B. Lựa chọn B
C. Lựa chọn C
D. Lựa chọn D</t>
        </is>
      </c>
      <c r="G70" s="14" t="n"/>
      <c r="H70" s="7">
        <f>IF(ISBLANK(G70), "⏳ Chờ đáp án", IF(UPPER(TRIM(G70))="A", "✅ Đúng", "❌ Sai"))</f>
        <v/>
      </c>
      <c r="I70" s="14" t="n"/>
      <c r="J70" s="7">
        <f>IF(ISBLANK(I70), "", IF(UPPER(TRIM(I70))="A", "✅ Đúng", "❌ Sai"))</f>
        <v/>
      </c>
      <c r="K70" s="14" t="n"/>
      <c r="L70" s="7">
        <f>IF(ISBLANK(K70), "", IF(UPPER(TRIM(K70))="A", "✅ Đúng", "❌ Sai"))</f>
        <v/>
      </c>
      <c r="M70" s="7">
        <f>COUNTIF(H70, "❌ Sai") + COUNTIF(J70, "❌ Sai") + COUNTIF(L70, "❌ Sai")</f>
        <v/>
      </c>
      <c r="N70" s="7">
        <f>IF(ISBLANK(G70), "⏳ Chờ làm", IF(H70="✅ Đúng", "✅ Đúng ngay L1", IF(J70="✅ Đúng", "✅ Đúng ở L2", IF(L70="✅ Đúng", "✅ Đúng ở L3", "❌ Chưa đúng sau 3 lần"))))</f>
        <v/>
      </c>
      <c r="O70" s="13">
        <f>IF(ISBLANK(F70), "💡 Nhập đáp án vào Lần thử 1", IF(G70="✅ Đúng", "✨ Xuất sắc! Bạn đã làm đúng.", "💡 Gợi ý: " &amp; "Tìm giao điểm với các trục bằng cách cho x = 0 (tìm y-intercept) hoặc y = 0 (tìm x-intercept)."))</f>
        <v/>
      </c>
      <c r="P70" s="5">
        <f>IF(ISBLANK(G70), "💡 Nhập đáp án vào Lần thử 1", IF(OR(H70="✅ Đúng", J70="✅ Đúng", L70="✅ Đúng"), "✨ Xuất sắc! Bạn đã làm đúng.", IF(NOT(ISBLANK(K70)), "💡 Gợi ý Tầng 3 (Chốt phương pháp): " &amp; "Xác định tọa độ giao điểm tương ứng từ kết quả tính toán.", IF(NOT(ISBLANK(I70)), "💡 Gợi ý Tầng 2 (Manh mối cấu trúc &amp; Loại trừ): " &amp; "Để tìm y-intercept, cho x = 0; để tìm x-intercept, cho tử số bằng 0.", "💡 Gợi ý Tầng 1 (Định hướng bối cảnh): " &amp; "Tìm giao điểm của đồ thị hàm phân thức với các trục tọa độ."))))</f>
        <v/>
      </c>
      <c r="Q70" s="5">
        <f>IF(OR(H70="✅ Đúng", J70="✅ Đúng", L70="✅ Đúng"), "x-intercept occurs when y = 0 =&gt; Numerator 21 - x = 0 =&gt; x = 21.", "🔒 Trả lời đúng để mở khóa Strategic Tip!")</f>
        <v/>
      </c>
    </row>
    <row r="71" ht="15.75" customHeight="1" s="19">
      <c r="A71" s="7" t="inlineStr">
        <is>
          <t>M67</t>
        </is>
      </c>
      <c r="B71" s="7" t="inlineStr">
        <is>
          <t>Math Module 1</t>
        </is>
      </c>
      <c r="C71" s="5" t="inlineStr">
        <is>
          <t>Inequalities &amp; Speed/Distance</t>
        </is>
      </c>
      <c r="D71" s="5" t="inlineStr">
        <is>
          <t>A model estimates that a glacier moves between 17 and 24 centimeters per day.</t>
        </is>
      </c>
      <c r="E71" s="5" t="inlineStr">
        <is>
          <t>Calculator Allowed. Which inequality represents possible values of x, where x is the total distance, in centimeters, the glacier moves in 2 days?</t>
        </is>
      </c>
      <c r="F71" s="5" t="inlineStr">
        <is>
          <t>A. Lựa chọn A
B. Lựa chọn B
C. Lựa chọn C
D. Lựa chọn D</t>
        </is>
      </c>
      <c r="G71" s="14" t="n"/>
      <c r="H71" s="7">
        <f>IF(ISBLANK(G71), "⏳ Chờ đáp án", IF(UPPER(TRIM(G71))="D", "✅ Đúng", "❌ Sai"))</f>
        <v/>
      </c>
      <c r="I71" s="14" t="n"/>
      <c r="J71" s="7">
        <f>IF(ISBLANK(I71), "", IF(UPPER(TRIM(I71))="D", "✅ Đúng", "❌ Sai"))</f>
        <v/>
      </c>
      <c r="K71" s="14" t="n"/>
      <c r="L71" s="7">
        <f>IF(ISBLANK(K71), "", IF(UPPER(TRIM(K71))="D", "✅ Đúng", "❌ Sai"))</f>
        <v/>
      </c>
      <c r="M71" s="7">
        <f>COUNTIF(H71, "❌ Sai") + COUNTIF(J71, "❌ Sai") + COUNTIF(L71, "❌ Sai")</f>
        <v/>
      </c>
      <c r="N71" s="7">
        <f>IF(ISBLANK(G71), "⏳ Chờ làm", IF(H71="✅ Đúng", "✅ Đúng ngay L1", IF(J71="✅ Đúng", "✅ Đúng ở L2", IF(L71="✅ Đúng", "✅ Đúng ở L3", "❌ Chưa đúng sau 3 lần"))))</f>
        <v/>
      </c>
      <c r="O71" s="13">
        <f>IF(ISBLANK(F71), "💡 Nhập đáp án vào Lần thử 1", IF(G71="✅ Đúng", "✨ Xuất sắc! Bạn đã làm đúng.", "💡 Gợi ý: " &amp; "Lập bất phương trình biểu diễn mối quan hệ giữa khoảng cách, vận tốc và thời gian."))</f>
        <v/>
      </c>
      <c r="P71" s="5">
        <f>IF(ISBLANK(G71), "💡 Nhập đáp án vào Lần thử 1", IF(OR(H71="✅ Đúng", J71="✅ Đúng", L71="✅ Đúng"), "✨ Xuất sắc! Bạn đã làm đúng.", IF(NOT(ISBLANK(K71)), "💡 Gợi ý Tầng 3 (Chốt phương pháp): " &amp; "Đặt dấu bất đẳng thức (lớn hơn/nhỏ hơn) đúng theo yêu cầu giới hạn của đề bài.", IF(NOT(ISBLANK(I71)), "💡 Gợi ý Tầng 2 (Manh mối cấu trúc &amp; Loại trừ): " &amp; "Áp dụng công thức Quãng đường = Vận tốc x Thời gian.", "💡 Gợi ý Tầng 1 (Định hướng bối cảnh): " &amp; "Thiết lập bất phương trình liên quan đến quãng đường, vận tốc và thời gian."))))</f>
        <v/>
      </c>
      <c r="Q71" s="5">
        <f>IF(OR(H71="✅ Đúng", J71="✅ Đúng", L71="✅ Đúng"), "Range for 2 days = [Min rate * 2, Max rate * 2] = [(17)(2), (24)(2)].", "🔒 Trả lời đúng để mở khóa Strategic Tip!")</f>
        <v/>
      </c>
    </row>
    <row r="72" ht="15.75" customHeight="1" s="19">
      <c r="A72" s="7" t="inlineStr">
        <is>
          <t>M68</t>
        </is>
      </c>
      <c r="B72" s="7" t="inlineStr">
        <is>
          <t>Math Module 1</t>
        </is>
      </c>
      <c r="C72" s="5" t="inlineStr">
        <is>
          <t>Unit Conversion (Ancient Units)</t>
        </is>
      </c>
      <c r="D72" s="5" t="inlineStr">
        <is>
          <t>In an ancient Roman measurement system, a leuga was a unit of length equal to 7,500 pedes.</t>
        </is>
      </c>
      <c r="E72" s="5" t="inlineStr">
        <is>
          <t>Calculator Allowed. In this measurement system, how many pedes were equivalent to 4.6 leugas?</t>
        </is>
      </c>
      <c r="F72" s="5" t="inlineStr">
        <is>
          <t>Student-Produced Response (Grid-in)</t>
        </is>
      </c>
      <c r="G72" s="14" t="n"/>
      <c r="H72" s="7">
        <f>IF(ISBLANK(G72), "⏳ Chờ đáp án", IF(UPPER(TRIM(G72))="34500", "✅ Đúng", "❌ Sai"))</f>
        <v/>
      </c>
      <c r="I72" s="14" t="n"/>
      <c r="J72" s="7">
        <f>IF(ISBLANK(I72), "", IF(UPPER(TRIM(I72))="34500", "✅ Đúng", "❌ Sai"))</f>
        <v/>
      </c>
      <c r="K72" s="14" t="n"/>
      <c r="L72" s="7">
        <f>IF(ISBLANK(K72), "", IF(UPPER(TRIM(K72))="34500", "✅ Đúng", "❌ Sai"))</f>
        <v/>
      </c>
      <c r="M72" s="7">
        <f>COUNTIF(H72, "❌ Sai") + COUNTIF(J72, "❌ Sai") + COUNTIF(L72, "❌ Sai")</f>
        <v/>
      </c>
      <c r="N72" s="7">
        <f>IF(ISBLANK(G72), "⏳ Chờ làm", IF(H72="✅ Đúng", "✅ Đúng ngay L1", IF(J72="✅ Đúng", "✅ Đúng ở L2", IF(L72="✅ Đúng", "✅ Đúng ở L3", "❌ Chưa đúng sau 3 lần"))))</f>
        <v/>
      </c>
      <c r="O72" s="13">
        <f>IF(ISBLANK(F72), "💡 Nhập đáp án vào Lần thử 1", IF(G72="✅ Đúng", "✨ Xuất sắc! Bạn đã làm đúng.", "💡 Gợi ý: " &amp; "Áp dụng phương pháp nhân hệ số chuyển đổi dây chuyền để đổi từ đơn vị này sang đơn vị khác."))</f>
        <v/>
      </c>
      <c r="P72" s="5">
        <f>IF(ISBLANK(G72), "💡 Nhập đáp án vào Lần thử 1", IF(OR(H72="✅ Đúng", J72="✅ Đúng", L72="✅ Đúng"), "✨ Xuất sắc! Bạn đã làm đúng.", IF(NOT(ISBLANK(K72)), "💡 Gợi ý Tầng 3 (Chốt phương pháp): " &amp; "Nhân/chia chuỗi tỉ lệ để đổi sang đơn vị mục tiêu.", IF(NOT(ISBLANK(I72)), "💡 Gợi ý Tầng 2 (Manh mối cấu trúc &amp; Loại trừ): " &amp; "Sử dụng tỉ lệ chuyển đổi được cung cấp trong đề bài.", "💡 Gợi ý Tầng 1 (Định hướng bối cảnh): " &amp; "Bài toán chuyển đổi đơn vị đo lường cổ/đặc thù."))))</f>
        <v/>
      </c>
      <c r="Q72" s="5">
        <f>IF(OR(H72="✅ Đúng", J72="✅ Đúng", L72="✅ Đúng"), "Unit Conversion: Pedes = 4.6 * 7,500 = 34,500.", "🔒 Trả lời đúng để mở khóa Strategic Tip!")</f>
        <v/>
      </c>
    </row>
    <row r="73" ht="15.75" customHeight="1" s="19">
      <c r="A73" s="7" t="inlineStr">
        <is>
          <t>M69</t>
        </is>
      </c>
      <c r="B73" s="7" t="inlineStr">
        <is>
          <t>Math Module 1</t>
        </is>
      </c>
      <c r="C73" s="5" t="inlineStr">
        <is>
          <t>Geometry (Area &amp; Factoring)</t>
        </is>
      </c>
      <c r="D73" s="5" t="inlineStr">
        <is>
          <t>A rectangle has a width of n yards and a length of (n + 7) yards. The area of the rectangle is 198 square yards.</t>
        </is>
      </c>
      <c r="E73" s="5" t="inlineStr">
        <is>
          <t>Calculator Allowed. What is the value of n?</t>
        </is>
      </c>
      <c r="F73" s="5" t="inlineStr">
        <is>
          <t>Student-Produced Response (Grid-in)</t>
        </is>
      </c>
      <c r="G73" s="14" t="n"/>
      <c r="H73" s="7">
        <f>IF(ISBLANK(G73), "⏳ Chờ đáp án", IF(UPPER(TRIM(G73))="11", "✅ Đúng", "❌ Sai"))</f>
        <v/>
      </c>
      <c r="I73" s="14" t="n"/>
      <c r="J73" s="7">
        <f>IF(ISBLANK(I73), "", IF(UPPER(TRIM(I73))="11", "✅ Đúng", "❌ Sai"))</f>
        <v/>
      </c>
      <c r="K73" s="14" t="n"/>
      <c r="L73" s="7">
        <f>IF(ISBLANK(K73), "", IF(UPPER(TRIM(K73))="11", "✅ Đúng", "❌ Sai"))</f>
        <v/>
      </c>
      <c r="M73" s="7">
        <f>COUNTIF(H73, "❌ Sai") + COUNTIF(J73, "❌ Sai") + COUNTIF(L73, "❌ Sai")</f>
        <v/>
      </c>
      <c r="N73" s="7">
        <f>IF(ISBLANK(G73), "⏳ Chờ làm", IF(H73="✅ Đúng", "✅ Đúng ngay L1", IF(J73="✅ Đúng", "✅ Đúng ở L2", IF(L73="✅ Đúng", "✅ Đúng ở L3", "❌ Chưa đúng sau 3 lần"))))</f>
        <v/>
      </c>
      <c r="O73" s="13">
        <f>IF(ISBLANK(F73), "💡 Nhập đáp án vào Lần thử 1", IF(G73="✅ Đúng", "✨ Xuất sắc! Bạn đã làm đúng.", "💡 Gợi ý: " &amp; "Sử dụng công thức tính diện tích hình học và phân tích đa thức thành nhân tử để tìm chiều dài các cạnh."))</f>
        <v/>
      </c>
      <c r="P73" s="5">
        <f>IF(ISBLANK(G73), "💡 Nhập đáp án vào Lần thử 1", IF(OR(H73="✅ Đúng", J73="✅ Đúng", L73="✅ Đúng"), "✨ Xuất sắc! Bạn đã làm đúng.", IF(NOT(ISBLANK(K73)), "💡 Gợi ý Tầng 3 (Chốt phương pháp): " &amp; "Giải phương trình đại số để tìm độ dài kích thước chưa biết.", IF(NOT(ISBLANK(I73)), "💡 Gợi ý Tầng 2 (Manh mối cấu trúc &amp; Loại trừ): " &amp; "Viết biểu thức diện tích theo chiều dài và chiều rộng.", "💡 Gợi ý Tầng 1 (Định hướng bối cảnh): " &amp; "Áp dụng công thức tính diện tích hình học và phân tích đa thức thành nhân tử."))))</f>
        <v/>
      </c>
      <c r="Q73" s="5">
        <f>IF(OR(H73="✅ Đúng", J73="✅ Đúng", L73="✅ Đúng"), "Area = n(n + 7) = 198 =&gt; n = 11 (since 11 * 18 = 198).", "🔒 Trả lời đúng để mở khóa Strategic Tip!")</f>
        <v/>
      </c>
    </row>
    <row r="74" ht="15.75" customHeight="1" s="19">
      <c r="A74" s="7" t="inlineStr">
        <is>
          <t>M70</t>
        </is>
      </c>
      <c r="B74" s="7" t="inlineStr">
        <is>
          <t>Math Module 1</t>
        </is>
      </c>
      <c r="C74" s="5" t="inlineStr">
        <is>
          <t>Rearranging Formulas (Kinetic Energy)</t>
        </is>
      </c>
      <c r="D74" s="5" t="inlineStr">
        <is>
          <t>For an object with a mass of 55 kg, the given equation 55 = 2K / (v^2) relates kinetic energy K to speed v.</t>
        </is>
      </c>
      <c r="E74" s="5" t="inlineStr">
        <is>
          <t>Calculator Allowed. Which equation correctly expresses speed v in terms of K?</t>
        </is>
      </c>
      <c r="F74" s="5" t="inlineStr">
        <is>
          <t>A. Lựa chọn A
B. Lựa chọn B
C. Lựa chọn C
D. Lựa chọn D</t>
        </is>
      </c>
      <c r="G74" s="14" t="n"/>
      <c r="H74" s="7">
        <f>IF(ISBLANK(G74), "⏳ Chờ đáp án", IF(UPPER(TRIM(G74))="D", "✅ Đúng", "❌ Sai"))</f>
        <v/>
      </c>
      <c r="I74" s="14" t="n"/>
      <c r="J74" s="7">
        <f>IF(ISBLANK(I74), "", IF(UPPER(TRIM(I74))="D", "✅ Đúng", "❌ Sai"))</f>
        <v/>
      </c>
      <c r="K74" s="14" t="n"/>
      <c r="L74" s="7">
        <f>IF(ISBLANK(K74), "", IF(UPPER(TRIM(K74))="D", "✅ Đúng", "❌ Sai"))</f>
        <v/>
      </c>
      <c r="M74" s="7">
        <f>COUNTIF(H74, "❌ Sai") + COUNTIF(J74, "❌ Sai") + COUNTIF(L74, "❌ Sai")</f>
        <v/>
      </c>
      <c r="N74" s="7">
        <f>IF(ISBLANK(G74), "⏳ Chờ làm", IF(H74="✅ Đúng", "✅ Đúng ngay L1", IF(J74="✅ Đúng", "✅ Đúng ở L2", IF(L74="✅ Đúng", "✅ Đúng ở L3", "❌ Chưa đúng sau 3 lần"))))</f>
        <v/>
      </c>
      <c r="O74" s="13">
        <f>IF(ISBLANK(F74), "💡 Nhập đáp án vào Lần thử 1", IF(G74="✅ Đúng", "✨ Xuất sắc! Bạn đã làm đúng.", "💡 Gợi ý: " &amp; "Biến đổi đại số để cô lập biến cần tìm về một vế của công thức."))</f>
        <v/>
      </c>
      <c r="P74" s="5">
        <f>IF(ISBLANK(G74), "💡 Nhập đáp án vào Lần thử 1", IF(OR(H74="✅ Đúng", J74="✅ Đúng", L74="✅ Đúng"), "✨ Xuất sắc! Bạn đã làm đúng.", IF(NOT(ISBLANK(K74)), "💡 Gợi ý Tầng 3 (Chốt phương pháp): " &amp; "Rút biến số mục tiêu ra một vế hoàn chỉnh.", IF(NOT(ISBLANK(I74)), "💡 Gợi ý Tầng 2 (Manh mối cấu trúc &amp; Loại trừ): " &amp; "Thực hiện các phép tính ngược (nhân/chia, lấy căn/bình phương) lên cả hai vế.", "💡 Gợi ý Tầng 1 (Định hướng bối cảnh): " &amp; "Biến đổi công thức vật lý/đại số để cô lập một biến số."))))</f>
        <v/>
      </c>
      <c r="Q74" s="5">
        <f>IF(OR(H74="✅ Đúng", J74="✅ Đúng", L74="✅ Đúng"), "Isolate v: v^2 = 2K / 55 =&gt; v = sqrt(2K / 55).", "🔒 Trả lời đúng để mở khóa Strategic Tip!")</f>
        <v/>
      </c>
    </row>
    <row r="75" ht="15.75" customHeight="1" s="19">
      <c r="A75" s="7" t="inlineStr">
        <is>
          <t>M71</t>
        </is>
      </c>
      <c r="B75" s="7" t="inlineStr">
        <is>
          <t>Math Module 1</t>
        </is>
      </c>
      <c r="C75" s="5" t="inlineStr">
        <is>
          <t>Exponential Growth Model</t>
        </is>
      </c>
      <c r="D75" s="5" t="inlineStr">
        <is>
          <t>A company's solar cell production grew by approximately 22% each year for 5 years following 2013, starting at 7,138 peak kilowatts in 2013.</t>
        </is>
      </c>
      <c r="E75" s="5" t="inlineStr">
        <is>
          <t>Calculator Allowed. Which function best models the solar cell production C(n) n years after 2013?</t>
        </is>
      </c>
      <c r="F75" s="5" t="inlineStr">
        <is>
          <t>A. Lựa chọn A
B. Lựa chọn B
C. Lựa chọn C
D. Lựa chọn D</t>
        </is>
      </c>
      <c r="G75" s="14" t="n"/>
      <c r="H75" s="7">
        <f>IF(ISBLANK(G75), "⏳ Chờ đáp án", IF(UPPER(TRIM(G75))="B", "✅ Đúng", "❌ Sai"))</f>
        <v/>
      </c>
      <c r="I75" s="14" t="n"/>
      <c r="J75" s="7">
        <f>IF(ISBLANK(I75), "", IF(UPPER(TRIM(I75))="B", "✅ Đúng", "❌ Sai"))</f>
        <v/>
      </c>
      <c r="K75" s="14" t="n"/>
      <c r="L75" s="7">
        <f>IF(ISBLANK(K75), "", IF(UPPER(TRIM(K75))="B", "✅ Đúng", "❌ Sai"))</f>
        <v/>
      </c>
      <c r="M75" s="7">
        <f>COUNTIF(H75, "❌ Sai") + COUNTIF(J75, "❌ Sai") + COUNTIF(L75, "❌ Sai")</f>
        <v/>
      </c>
      <c r="N75" s="7">
        <f>IF(ISBLANK(G75), "⏳ Chờ làm", IF(H75="✅ Đúng", "✅ Đúng ngay L1", IF(J75="✅ Đúng", "✅ Đúng ở L2", IF(L75="✅ Đúng", "✅ Đúng ở L3", "❌ Chưa đúng sau 3 lần"))))</f>
        <v/>
      </c>
      <c r="O75" s="13">
        <f>IF(ISBLANK(F75), "💡 Nhập đáp án vào Lần thử 1", IF(G75="✅ Đúng", "✨ Xuất sắc! Bạn đã làm đúng.", "💡 Gợi ý: " &amp; "Áp dụng mô hình hàm số mũ y = a(b)^x với a là giá trị ban đầu và b là hệ số tăng/giảm."))</f>
        <v/>
      </c>
      <c r="P75" s="5">
        <f>IF(ISBLANK(G75), "💡 Nhập đáp án vào Lần thử 1", IF(OR(H75="✅ Đúng", J75="✅ Đúng", L75="✅ Đúng"), "✨ Xuất sắc! Bạn đã làm đúng.", IF(NOT(ISBLANK(K75)), "💡 Gợi ý Tầng 3 (Chốt phương pháp): " &amp; "Thay giá trị biến thời gian x vào mô hình để tính kết quả.", IF(NOT(ISBLANK(I75)), "💡 Gợi ý Tầng 2 (Manh mối cấu trúc &amp; Loại trừ): " &amp; "Xác định giá trị ban đầu 'a' và hệ số tăng trưởng 'b' từ đề bài.", "💡 Gợi ý Tầng 1 (Định hướng bối cảnh): " &amp; "Áp dụng mô hình hàm số mũ y = a(b)^x đại diện cho sự tăng trưởng."))))</f>
        <v/>
      </c>
      <c r="Q75" s="5">
        <f>IF(OR(H75="✅ Đúng", J75="✅ Đúng", L75="✅ Đúng"), "Exponential Growth Model: P(t) = P0 * (1 + r)^t = 7,138 * (1.22)^n.", "🔒 Trả lời đúng để mở khóa Strategic Tip!")</f>
        <v/>
      </c>
    </row>
    <row r="76" ht="15.75" customHeight="1" s="19">
      <c r="A76" s="7" t="inlineStr">
        <is>
          <t>M72</t>
        </is>
      </c>
      <c r="B76" s="7" t="inlineStr">
        <is>
          <t>Math Module 1</t>
        </is>
      </c>
      <c r="C76" s="5" t="inlineStr">
        <is>
          <t>Trigonometry (Special Right Triangle 45-45-90)</t>
        </is>
      </c>
      <c r="D76" s="5" t="inlineStr">
        <is>
          <t>In right triangle ABC with angle B = 90 deg and angle C = 45 deg, hypotenuse AC has length x = 19.</t>
        </is>
      </c>
      <c r="E76" s="5" t="inlineStr">
        <is>
          <t>Calculator Allowed. What is the value of sin A?</t>
        </is>
      </c>
      <c r="F76" s="5" t="inlineStr">
        <is>
          <t>A. Lựa chọn A
B. Lựa chọn B
C. Lựa chọn C
D. Lựa chọn D</t>
        </is>
      </c>
      <c r="G76" s="14" t="n"/>
      <c r="H76" s="7">
        <f>IF(ISBLANK(G76), "⏳ Chờ đáp án", IF(UPPER(TRIM(G76))="B", "✅ Đúng", "❌ Sai"))</f>
        <v/>
      </c>
      <c r="I76" s="14" t="n"/>
      <c r="J76" s="7">
        <f>IF(ISBLANK(I76), "", IF(UPPER(TRIM(I76))="B", "✅ Đúng", "❌ Sai"))</f>
        <v/>
      </c>
      <c r="K76" s="14" t="n"/>
      <c r="L76" s="7">
        <f>IF(ISBLANK(K76), "", IF(UPPER(TRIM(K76))="B", "✅ Đúng", "❌ Sai"))</f>
        <v/>
      </c>
      <c r="M76" s="7">
        <f>COUNTIF(H76, "❌ Sai") + COUNTIF(J76, "❌ Sai") + COUNTIF(L76, "❌ Sai")</f>
        <v/>
      </c>
      <c r="N76" s="7">
        <f>IF(ISBLANK(G76), "⏳ Chờ làm", IF(H76="✅ Đúng", "✅ Đúng ngay L1", IF(J76="✅ Đúng", "✅ Đúng ở L2", IF(L76="✅ Đúng", "✅ Đúng ở L3", "❌ Chưa đúng sau 3 lần"))))</f>
        <v/>
      </c>
      <c r="O76" s="13">
        <f>IF(ISBLANK(F76), "💡 Nhập đáp án vào Lần thử 1", IF(G76="✅ Đúng", "✨ Xuất sắc! Bạn đã làm đúng.", "💡 Gợi ý: " &amp; "Sử dụng tỉ số lượng giác hoặc tính chất của tam giác vuông đặc biệt 45-45-90."))</f>
        <v/>
      </c>
      <c r="P76" s="5">
        <f>IF(ISBLANK(G76), "💡 Nhập đáp án vào Lần thử 1", IF(OR(H76="✅ Đúng", J76="✅ Đúng", L76="✅ Đúng"), "✨ Xuất sắc! Bạn đã làm đúng.", IF(NOT(ISBLANK(K76)), "💡 Gợi ý Tầng 3 (Chốt phương pháp): " &amp; "Sử dụng tỉ lệ cạnh để tính độ dài cạnh cần tìm.", IF(NOT(ISBLANK(I76)), "💡 Gợi ý Tầng 2 (Manh mối cấu trúc &amp; Loại trừ): " &amp; "Nhớ tỉ lệ cạnh trong tam giác vuông cân là 1 : 1 : sqrt(2).", "💡 Gợi ý Tầng 1 (Định hướng bối cảnh): " &amp; "Áp dụng tỉ số lượng giác trong tam giác vuông đặc biệt 45-45-90."))))</f>
        <v/>
      </c>
      <c r="Q76" s="5">
        <f>IF(OR(H76="✅ Đúng", J76="✅ Đúng", L76="✅ Đúng"), "Special Right Triangle 45-45-90: sin(45 deg) = 1/sqrt(2).", "🔒 Trả lời đúng để mở khóa Strategic Tip!")</f>
        <v/>
      </c>
    </row>
    <row r="77" ht="15.75" customHeight="1" s="19">
      <c r="A77" s="7" t="inlineStr">
        <is>
          <t>M73</t>
        </is>
      </c>
      <c r="B77" s="7" t="inlineStr">
        <is>
          <t>Math Module 1</t>
        </is>
      </c>
      <c r="C77" s="5" t="inlineStr">
        <is>
          <t>3D Geometry (Right Square Prism Volume)</t>
        </is>
      </c>
      <c r="D77" s="5" t="inlineStr">
        <is>
          <t>A right square prism has a height of 15 units and a volume of 1,815 cubic units.</t>
        </is>
      </c>
      <c r="E77" s="5" t="inlineStr">
        <is>
          <t>Calculator Allowed. What is the length, in units, of an edge of the base?</t>
        </is>
      </c>
      <c r="F77" s="5" t="inlineStr">
        <is>
          <t>Student-Produced Response (Grid-in)</t>
        </is>
      </c>
      <c r="G77" s="14" t="n"/>
      <c r="H77" s="7">
        <f>IF(ISBLANK(G77), "⏳ Chờ đáp án", IF(UPPER(TRIM(G77))="11", "✅ Đúng", "❌ Sai"))</f>
        <v/>
      </c>
      <c r="I77" s="14" t="n"/>
      <c r="J77" s="7">
        <f>IF(ISBLANK(I77), "", IF(UPPER(TRIM(I77))="11", "✅ Đúng", "❌ Sai"))</f>
        <v/>
      </c>
      <c r="K77" s="14" t="n"/>
      <c r="L77" s="7">
        <f>IF(ISBLANK(K77), "", IF(UPPER(TRIM(K77))="11", "✅ Đúng", "❌ Sai"))</f>
        <v/>
      </c>
      <c r="M77" s="7">
        <f>COUNTIF(H77, "❌ Sai") + COUNTIF(J77, "❌ Sai") + COUNTIF(L77, "❌ Sai")</f>
        <v/>
      </c>
      <c r="N77" s="7">
        <f>IF(ISBLANK(G77), "⏳ Chờ làm", IF(H77="✅ Đúng", "✅ Đúng ngay L1", IF(J77="✅ Đúng", "✅ Đúng ở L2", IF(L77="✅ Đúng", "✅ Đúng ở L3", "❌ Chưa đúng sau 3 lần"))))</f>
        <v/>
      </c>
      <c r="O77" s="13">
        <f>IF(ISBLANK(F77), "💡 Nhập đáp án vào Lần thử 1", IF(G77="✅ Đúng", "✨ Xuất sắc! Bạn đã làm đúng.", "💡 Gợi ý: " &amp; "Sử dụng công thức thể tích khối lăng trụ đứng V = B * h (diện tích đáy nhân chiều cao)."))</f>
        <v/>
      </c>
      <c r="P77" s="5">
        <f>IF(ISBLANK(G77), "💡 Nhập đáp án vào Lần thử 1", IF(OR(H77="✅ Đúng", J77="✅ Đúng", L77="✅ Đúng"), "✨ Xuất sắc! Bạn đã làm đúng.", IF(NOT(ISBLANK(K77)), "💡 Gợi ý Tầng 3 (Chốt phương pháp): " &amp; "Thay độ dài cạnh đáy và chiều cao vào công thức để tính thể tích.", IF(NOT(ISBLANK(I77)), "💡 Gợi ý Tầng 2 (Manh mối cấu trúc &amp; Loại trừ): " &amp; "Áp dụng công thức Thể tích = Diện tích đáy x Chiều cao.", "💡 Gợi ý Tầng 1 (Định hướng bối cảnh): " &amp; "Tính thể tích khối lăng trụ đứng đáy là hình vuông."))))</f>
        <v/>
      </c>
      <c r="Q77" s="5">
        <f>IF(OR(H77="✅ Đúng", J77="✅ Đúng", L77="✅ Đúng"), "Volume of Square Prism = s^2 * h =&gt; s^2 = 1815 / 15 = 121 =&gt; s = 11.", "🔒 Trả lời đúng để mở khóa Strategic Tip!")</f>
        <v/>
      </c>
    </row>
    <row r="78" ht="15.75" customHeight="1" s="19">
      <c r="A78" s="7" t="inlineStr">
        <is>
          <t>M74</t>
        </is>
      </c>
      <c r="B78" s="7" t="inlineStr">
        <is>
          <t>Math Module 1</t>
        </is>
      </c>
      <c r="C78" s="5" t="inlineStr">
        <is>
          <t>Systems of Non-linear Equations</t>
        </is>
      </c>
      <c r="D78" s="5" t="inlineStr">
        <is>
          <t>System of equations: y = x - 1 and y = 19(x - 1)^2 - 20.</t>
        </is>
      </c>
      <c r="E78" s="5" t="inlineStr">
        <is>
          <t>Calculator Allowed. What is one possible value of x - 1?</t>
        </is>
      </c>
      <c r="F78" s="5" t="inlineStr">
        <is>
          <t>A. Lựa chọn A
B. Lựa chọn B
C. Lựa chọn C
D. Lựa chọn D</t>
        </is>
      </c>
      <c r="G78" s="14" t="n"/>
      <c r="H78" s="7">
        <f>IF(ISBLANK(G78), "⏳ Chờ đáp án", IF(UPPER(TRIM(G78))="C", "✅ Đúng", "❌ Sai"))</f>
        <v/>
      </c>
      <c r="I78" s="14" t="n"/>
      <c r="J78" s="7">
        <f>IF(ISBLANK(I78), "", IF(UPPER(TRIM(I78))="C", "✅ Đúng", "❌ Sai"))</f>
        <v/>
      </c>
      <c r="K78" s="14" t="n"/>
      <c r="L78" s="7">
        <f>IF(ISBLANK(K78), "", IF(UPPER(TRIM(K78))="C", "✅ Đúng", "❌ Sai"))</f>
        <v/>
      </c>
      <c r="M78" s="7">
        <f>COUNTIF(H78, "❌ Sai") + COUNTIF(J78, "❌ Sai") + COUNTIF(L78, "❌ Sai")</f>
        <v/>
      </c>
      <c r="N78" s="7">
        <f>IF(ISBLANK(G78), "⏳ Chờ làm", IF(H78="✅ Đúng", "✅ Đúng ngay L1", IF(J78="✅ Đúng", "✅ Đúng ở L2", IF(L78="✅ Đúng", "✅ Đúng ở L3", "❌ Chưa đúng sau 3 lần"))))</f>
        <v/>
      </c>
      <c r="O78" s="13">
        <f>IF(ISBLANK(F78), "💡 Nhập đáp án vào Lần thử 1", IF(G78="✅ Đúng", "✨ Xuất sắc! Bạn đã làm đúng.", "💡 Gợi ý: " &amp; "Sử dụng phương pháp thế hoặc cộng đại số để giải hệ phương trình gồm đường thẳng và parabol."))</f>
        <v/>
      </c>
      <c r="P78" s="5">
        <f>IF(ISBLANK(G78), "💡 Nhập đáp án vào Lần thử 1", IF(OR(H78="✅ Đúng", J78="✅ Đúng", L78="✅ Đúng"), "✨ Xuất sắc! Bạn đã làm đúng.", IF(NOT(ISBLANK(K78)), "💡 Gợi ý Tầng 3 (Chốt phương pháp): " &amp; "Giải phương trình bậc hai thu được để tìm số nghiệm.", IF(NOT(ISBLANK(I78)), "💡 Gợi ý Tầng 2 (Manh mối cấu trúc &amp; Loại trừ): " &amp; "Rút một biến từ phương trình tuyến tính và thế vào phương trình phi tuyến.", "💡 Gợi ý Tầng 1 (Định hướng bối cảnh): " &amp; "Giải hệ phương trình gồm một phương trình tuyến tính và một phương trình phi tuyến."))))</f>
        <v/>
      </c>
      <c r="Q78" s="5">
        <f>IF(OR(H78="✅ Đúng", J78="✅ Đúng", L78="✅ Đúng"), "Substitute u = x - 1 =&gt; 19u^2 - u - 20 = 0 =&gt; u = 1 or u = 20/19.", "🔒 Trả lời đúng để mở khóa Strategic Tip!")</f>
        <v/>
      </c>
    </row>
    <row r="79" ht="15.75" customHeight="1" s="19">
      <c r="A79" s="7" t="inlineStr">
        <is>
          <t>M75</t>
        </is>
      </c>
      <c r="B79" s="7" t="inlineStr">
        <is>
          <t>Math Module 1</t>
        </is>
      </c>
      <c r="C79" s="5" t="inlineStr">
        <is>
          <t>Systems of Linear Equations (No Solution)</t>
        </is>
      </c>
      <c r="D79" s="5" t="inlineStr">
        <is>
          <t>System of equations: 18x + 6y = 8y + 9 and ty = 1/5 + 9x.</t>
        </is>
      </c>
      <c r="E79" s="5" t="inlineStr">
        <is>
          <t>Calculator Allowed. In the given system, t is a constant. If the system has no solution, what is the value of t?</t>
        </is>
      </c>
      <c r="F79" s="5" t="inlineStr">
        <is>
          <t>Student-Produced Response (Grid-in)</t>
        </is>
      </c>
      <c r="G79" s="14" t="n"/>
      <c r="H79" s="7">
        <f>IF(ISBLANK(G79), "⏳ Chờ đáp án", IF(UPPER(TRIM(G79))="1", "✅ Đúng", "❌ Sai"))</f>
        <v/>
      </c>
      <c r="I79" s="14" t="n"/>
      <c r="J79" s="7">
        <f>IF(ISBLANK(I79), "", IF(UPPER(TRIM(I79))="1", "✅ Đúng", "❌ Sai"))</f>
        <v/>
      </c>
      <c r="K79" s="14" t="n"/>
      <c r="L79" s="7">
        <f>IF(ISBLANK(K79), "", IF(UPPER(TRIM(K79))="1", "✅ Đúng", "❌ Sai"))</f>
        <v/>
      </c>
      <c r="M79" s="7">
        <f>COUNTIF(H79, "❌ Sai") + COUNTIF(J79, "❌ Sai") + COUNTIF(L79, "❌ Sai")</f>
        <v/>
      </c>
      <c r="N79" s="7">
        <f>IF(ISBLANK(G79), "⏳ Chờ làm", IF(H79="✅ Đúng", "✅ Đúng ngay L1", IF(J79="✅ Đúng", "✅ Đúng ở L2", IF(L79="✅ Đúng", "✅ Đúng ở L3", "❌ Chưa đúng sau 3 lần"))))</f>
        <v/>
      </c>
      <c r="O79" s="13">
        <f>IF(ISBLANK(F79), "💡 Nhập đáp án vào Lần thử 1", IF(G79="✅ Đúng", "✨ Xuất sắc! Bạn đã làm đúng.", "💡 Gợi ý: " &amp; "Để hệ phương trình tuyến tính vô nghiệm, hai đường thẳng phải song song (cùng hệ số góc nhưng khác tung độ gốc)."))</f>
        <v/>
      </c>
      <c r="P79" s="5">
        <f>IF(ISBLANK(G79), "💡 Nhập đáp án vào Lần thử 1", IF(OR(H79="✅ Đúng", J79="✅ Đúng", L79="✅ Đúng"), "✨ Xuất sắc! Bạn đã làm đúng.", IF(NOT(ISBLANK(K79)), "💡 Gợi ý Tầng 3 (Chốt phương pháp): " &amp; "Thiết lập tỉ lệ thức giữa các hệ số và giải tìm hằng số c.", IF(NOT(ISBLANK(I79)), "💡 Gợi ý Tầng 2 (Manh mối cấu trúc &amp; Loại trừ): " &amp; "Hệ vô nghiệm khi hai đường thẳng song song: tỉ số hệ số x và y bằng nhau nhưng khác tỉ số hằng số.", "💡 Gợi ý Tầng 1 (Định hướng bối cảnh): " &amp; "Xác định điều kiện để hệ phương trình tuyến tính vô nghiệm."))))</f>
        <v/>
      </c>
      <c r="Q79" s="5">
        <f>IF(OR(H79="✅ Đúng", J79="✅ Đúng", L79="✅ Đúng"), "Parallel Lines Condition: m1 = m2 =&gt; t = 1.", "🔒 Trả lời đúng để mở khóa Strategic Tip!")</f>
        <v/>
      </c>
    </row>
    <row r="80" ht="15.75" customHeight="1" s="19">
      <c r="A80" s="7" t="inlineStr">
        <is>
          <t>M76</t>
        </is>
      </c>
      <c r="B80" s="7" t="inlineStr">
        <is>
          <t>Math Module 1</t>
        </is>
      </c>
      <c r="C80" s="5" t="inlineStr">
        <is>
          <t>Circle Geometry (Radius from Intercepts)</t>
        </is>
      </c>
      <c r="D80" s="5" t="inlineStr">
        <is>
          <t>A circle in the xy-plane has center (24, 5) and y-intercepts (0, -27) and (0, 37).</t>
        </is>
      </c>
      <c r="E80" s="5" t="inlineStr">
        <is>
          <t>Calculator Allowed. What is the radius of this circle?</t>
        </is>
      </c>
      <c r="F80" s="5" t="inlineStr">
        <is>
          <t>A. Lựa chọn A
B. Lựa chọn B
C. Lựa chọn C
D. Lựa chọn D</t>
        </is>
      </c>
      <c r="G80" s="14" t="n"/>
      <c r="H80" s="7">
        <f>IF(ISBLANK(G80), "⏳ Chờ đáp án", IF(UPPER(TRIM(G80))="A", "✅ Đúng", "❌ Sai"))</f>
        <v/>
      </c>
      <c r="I80" s="14" t="n"/>
      <c r="J80" s="7">
        <f>IF(ISBLANK(I80), "", IF(UPPER(TRIM(I80))="A", "✅ Đúng", "❌ Sai"))</f>
        <v/>
      </c>
      <c r="K80" s="14" t="n"/>
      <c r="L80" s="7">
        <f>IF(ISBLANK(K80), "", IF(UPPER(TRIM(K80))="A", "✅ Đúng", "❌ Sai"))</f>
        <v/>
      </c>
      <c r="M80" s="7">
        <f>COUNTIF(H80, "❌ Sai") + COUNTIF(J80, "❌ Sai") + COUNTIF(L80, "❌ Sai")</f>
        <v/>
      </c>
      <c r="N80" s="7">
        <f>IF(ISBLANK(G80), "⏳ Chờ làm", IF(H80="✅ Đúng", "✅ Đúng ngay L1", IF(J80="✅ Đúng", "✅ Đúng ở L2", IF(L80="✅ Đúng", "✅ Đúng ở L3", "❌ Chưa đúng sau 3 lần"))))</f>
        <v/>
      </c>
      <c r="O80" s="13">
        <f>IF(ISBLANK(F80), "💡 Nhập đáp án vào Lần thử 1", IF(G80="✅ Đúng", "✨ Xuất sắc! Bạn đã làm đúng.", "💡 Gợi ý: " &amp; "Xác định tọa độ tâm và giao điểm với các trục tọa độ để tính bán kính đường tròn."))</f>
        <v/>
      </c>
      <c r="P80" s="5">
        <f>IF(ISBLANK(G80), "💡 Nhập đáp án vào Lần thử 1", IF(OR(H80="✅ Đúng", J80="✅ Đúng", L80="✅ Đúng"), "✨ Xuất sắc! Bạn đã làm đúng.", IF(NOT(ISBLANK(K80)), "💡 Gợi ý Tầng 3 (Chốt phương pháp): " &amp; "Lấy căn bậc hai của vế phải r^2 để tìm bán kính r.", IF(NOT(ISBLANK(I80)), "💡 Gợi ý Tầng 2 (Manh mối cấu trúc &amp; Loại trừ): " &amp; "Đưa phương trình đường tròn về dạng chuẩn (x - h)^2 + (y - k)^2 = r^2.", "💡 Gợi ý Tầng 1 (Định hướng bối cảnh): " &amp; "Xác định bán kính đường tròn từ phương trình hoặc giao điểm với trục tọa độ."))))</f>
        <v/>
      </c>
      <c r="Q80" s="5">
        <f>IF(OR(H80="✅ Đúng", J80="✅ Đúng", L80="✅ Đúng"), "Distance Formula: r = sqrt((x_center - 0)^2 + (y_center - y_int)^2) = sqrt(24^2 + 32^2) = 40.", "🔒 Trả lời đúng để mở khóa Strategic Tip!")</f>
        <v/>
      </c>
    </row>
    <row r="81" ht="15.75" customHeight="1" s="19">
      <c r="A81" s="7" t="inlineStr">
        <is>
          <t>M77</t>
        </is>
      </c>
      <c r="B81" s="7" t="inlineStr">
        <is>
          <t>Math Module 2</t>
        </is>
      </c>
      <c r="C81" s="5" t="inlineStr">
        <is>
          <t>Circle Equations (Radius)</t>
        </is>
      </c>
      <c r="D81" s="5" t="inlineStr">
        <is>
          <t>A circle in the xy-plane has equation (x - 4)^2 + (y + 1)^2 = 49.</t>
        </is>
      </c>
      <c r="E81" s="5" t="inlineStr">
        <is>
          <t>Calculator Allowed. What is the radius of the circle?</t>
        </is>
      </c>
      <c r="F81" s="5" t="inlineStr">
        <is>
          <t>A. Lựa chọn A
B. Lựa chọn B
C. Lựa chọn C
D. Lựa chọn D</t>
        </is>
      </c>
      <c r="G81" s="14" t="n"/>
      <c r="H81" s="7">
        <f>IF(ISBLANK(G81), "⏳ Chờ đáp án", IF(UPPER(TRIM(G81))="A", "✅ Đúng", "❌ Sai"))</f>
        <v/>
      </c>
      <c r="I81" s="14" t="n"/>
      <c r="J81" s="7">
        <f>IF(ISBLANK(I81), "", IF(UPPER(TRIM(I81))="A", "✅ Đúng", "❌ Sai"))</f>
        <v/>
      </c>
      <c r="K81" s="14" t="n"/>
      <c r="L81" s="7">
        <f>IF(ISBLANK(K81), "", IF(UPPER(TRIM(K81))="A", "✅ Đúng", "❌ Sai"))</f>
        <v/>
      </c>
      <c r="M81" s="7">
        <f>COUNTIF(H81, "❌ Sai") + COUNTIF(J81, "❌ Sai") + COUNTIF(L81, "❌ Sai")</f>
        <v/>
      </c>
      <c r="N81" s="7">
        <f>IF(ISBLANK(G81), "⏳ Chờ làm", IF(H81="✅ Đúng", "✅ Đúng ngay L1", IF(J81="✅ Đúng", "✅ Đúng ở L2", IF(L81="✅ Đúng", "✅ Đúng ở L3", "❌ Chưa đúng sau 3 lần"))))</f>
        <v/>
      </c>
      <c r="O81" s="13">
        <f>IF(ISBLANK(F81), "💡 Nhập đáp án vào Lần thử 1", IF(G81="✅ Đúng", "✨ Xuất sắc! Bạn đã làm đúng.", "💡 Gợi ý: " &amp; "So sánh phương trình đã cho với phương trình đường tròn chuẩn (x - h)^2 + (y - k)^2 = r^2 để tìm bán kính r."))</f>
        <v/>
      </c>
      <c r="P81" s="5">
        <f>IF(ISBLANK(G81), "💡 Nhập đáp án vào Lần thử 1", IF(OR(H81="✅ Đúng", J81="✅ Đúng", L81="✅ Đúng"), "✨ Xuất sắc! Bạn đã làm đúng.", IF(NOT(ISBLANK(K81)), "💡 Gợi ý Tầng 3 (Chốt phương pháp): " &amp; "Tính căn bậc hai của r^2 để tìm độ dài bán kính r.", IF(NOT(ISBLANK(I81)), "💡 Gợi ý Tầng 2 (Manh mối cấu trúc &amp; Loại trừ): " &amp; "Xác định giá trị r^2 ở vế phải của phương trình.", "💡 Gợi ý Tầng 1 (Định hướng bối cảnh): " &amp; "So sánh phương trình đường tròn đã cho với dạng chuẩn (x - h)^2 + (y - k)^2 = r^2."))))</f>
        <v/>
      </c>
      <c r="Q81" s="5">
        <f>IF(OR(H81="✅ Đúng", J81="✅ Đúng", L81="✅ Đúng"), "Circle Equation: (x - h)^2 + (y - k)^2 = r^2 =&gt; r = sqrt(49) = 7.", "🔒 Trả lời đúng để mở khóa Strategic Tip!")</f>
        <v/>
      </c>
    </row>
    <row r="82" ht="15.75" customHeight="1" s="19">
      <c r="A82" s="7" t="inlineStr">
        <is>
          <t>M78</t>
        </is>
      </c>
      <c r="B82" s="7" t="inlineStr">
        <is>
          <t>Math Module 2</t>
        </is>
      </c>
      <c r="C82" s="5" t="inlineStr">
        <is>
          <t>Linear Functions &amp; Table Data</t>
        </is>
      </c>
      <c r="D82" s="5" t="inlineStr">
        <is>
          <t>A table shows area x (sq ft) and water f(x) (gallons): (2400, 4320), (3600, 6480), (4800, 8640).</t>
        </is>
      </c>
      <c r="E82" s="5" t="inlineStr">
        <is>
          <t>Calculator Allowed. Which equation defines f(x)?</t>
        </is>
      </c>
      <c r="F82" s="5" t="inlineStr">
        <is>
          <t>A. Lựa chọn A
B. Lựa chọn B
C. Lựa chọn C
D. Lựa chọn D</t>
        </is>
      </c>
      <c r="G82" s="14" t="n"/>
      <c r="H82" s="7">
        <f>IF(ISBLANK(G82), "⏳ Chờ đáp án", IF(UPPER(TRIM(G82))="B", "✅ Đúng", "❌ Sai"))</f>
        <v/>
      </c>
      <c r="I82" s="14" t="n"/>
      <c r="J82" s="7">
        <f>IF(ISBLANK(I82), "", IF(UPPER(TRIM(I82))="B", "✅ Đúng", "❌ Sai"))</f>
        <v/>
      </c>
      <c r="K82" s="14" t="n"/>
      <c r="L82" s="7">
        <f>IF(ISBLANK(K82), "", IF(UPPER(TRIM(K82))="B", "✅ Đúng", "❌ Sai"))</f>
        <v/>
      </c>
      <c r="M82" s="7">
        <f>COUNTIF(H82, "❌ Sai") + COUNTIF(J82, "❌ Sai") + COUNTIF(L82, "❌ Sai")</f>
        <v/>
      </c>
      <c r="N82" s="7">
        <f>IF(ISBLANK(G82), "⏳ Chờ làm", IF(H82="✅ Đúng", "✅ Đúng ngay L1", IF(J82="✅ Đúng", "✅ Đúng ở L2", IF(L82="✅ Đúng", "✅ Đúng ở L3", "❌ Chưa đúng sau 3 lần"))))</f>
        <v/>
      </c>
      <c r="O82" s="13">
        <f>IF(ISBLANK(F82), "💡 Nhập đáp án vào Lần thử 1", IF(G82="✅ Đúng", "✨ Xuất sắc! Bạn đã làm đúng.", "💡 Gợi ý: " &amp; "Tính tỉ số thay đổi y/x từ bảng giá trị để xác định hệ số góc và dạng hàm số tương ứng."))</f>
        <v/>
      </c>
      <c r="P82" s="5">
        <f>IF(ISBLANK(G82), "💡 Nhập đáp án vào Lần thử 1", IF(OR(H82="✅ Đúng", J82="✅ Đúng", L82="✅ Đúng"), "✨ Xuất sắc! Bạn đã làm đúng.", IF(NOT(ISBLANK(K82)), "💡 Gợi ý Tầng 3 (Chốt phương pháp): " &amp; "Lập công thức hàm số dựa trên hệ số góc và tung độ gốc tìm được.", IF(NOT(ISBLANK(I82)), "💡 Gợi ý Tầng 2 (Manh mối cấu trúc &amp; Loại trừ): " &amp; "Tính tỉ số thay đổi Delta y / Delta x giữa các điểm dữ liệu.", "💡 Gợi ý Tầng 1 (Định hướng bối cảnh): " &amp; "Phân tích bảng giá trị để xác định dạng hàm số (tuyến tính hay hàm mũ)."))))</f>
        <v/>
      </c>
      <c r="Q82" s="5">
        <f>IF(OR(H82="✅ Đúng", J82="✅ Đúng", L82="✅ Đúng"), "Direct Variation Ratio: k = y / x = 4320 / 2400 = 1.8.", "🔒 Trả lời đúng để mở khóa Strategic Tip!")</f>
        <v/>
      </c>
    </row>
    <row r="83" ht="15.75" customHeight="1" s="19">
      <c r="A83" s="7" t="inlineStr">
        <is>
          <t>M79</t>
        </is>
      </c>
      <c r="B83" s="7" t="inlineStr">
        <is>
          <t>Math Module 2</t>
        </is>
      </c>
      <c r="C83" s="5" t="inlineStr">
        <is>
          <t>Linear Equations (Infinitely Many Solutions)</t>
        </is>
      </c>
      <c r="D83" s="5" t="inlineStr">
        <is>
          <t>Given the equation: 15x + 435 = a(x + 29).</t>
        </is>
      </c>
      <c r="E83" s="5" t="inlineStr">
        <is>
          <t>Calculator Allowed. If the equation has infinitely many solutions, what is the value of a?</t>
        </is>
      </c>
      <c r="F83" s="5" t="inlineStr">
        <is>
          <t>Student-Produced Response (Grid-in)</t>
        </is>
      </c>
      <c r="G83" s="14" t="n"/>
      <c r="H83" s="7">
        <f>IF(ISBLANK(G83), "⏳ Chờ đáp án", IF(UPPER(TRIM(G83))="15", "✅ Đúng", "❌ Sai"))</f>
        <v/>
      </c>
      <c r="I83" s="14" t="n"/>
      <c r="J83" s="7">
        <f>IF(ISBLANK(I83), "", IF(UPPER(TRIM(I83))="15", "✅ Đúng", "❌ Sai"))</f>
        <v/>
      </c>
      <c r="K83" s="14" t="n"/>
      <c r="L83" s="7">
        <f>IF(ISBLANK(K83), "", IF(UPPER(TRIM(K83))="15", "✅ Đúng", "❌ Sai"))</f>
        <v/>
      </c>
      <c r="M83" s="7">
        <f>COUNTIF(H83, "❌ Sai") + COUNTIF(J83, "❌ Sai") + COUNTIF(L83, "❌ Sai")</f>
        <v/>
      </c>
      <c r="N83" s="7">
        <f>IF(ISBLANK(G83), "⏳ Chờ làm", IF(H83="✅ Đúng", "✅ Đúng ngay L1", IF(J83="✅ Đúng", "✅ Đúng ở L2", IF(L83="✅ Đúng", "✅ Đúng ở L3", "❌ Chưa đúng sau 3 lần"))))</f>
        <v/>
      </c>
      <c r="O83" s="13">
        <f>IF(ISBLANK(F83), "💡 Nhập đáp án vào Lần thử 1", IF(G83="✅ Đúng", "✨ Xuất sắc! Bạn đã làm đúng.", "💡 Gợi ý: " &amp; "Để hệ phương trình có vô số nghiệm, các hệ số tương ứng của hai phương trình phải tỉ lệ với nhau."))</f>
        <v/>
      </c>
      <c r="P83" s="5">
        <f>IF(ISBLANK(G83), "💡 Nhập đáp án vào Lần thử 1", IF(OR(H83="✅ Đúng", J83="✅ Đúng", L83="✅ Đúng"), "✨ Xuất sắc! Bạn đã làm đúng.", IF(NOT(ISBLANK(K83)), "💡 Gợi ý Tầng 3 (Chốt phương pháp): " &amp; "Thiết lập tỉ lệ giữa các hệ số x, y và hằng số tự do để giải tìm ẩn số.", IF(NOT(ISBLANK(I83)), "💡 Gợi ý Tầng 2 (Manh mối cấu trúc &amp; Loại trừ): " &amp; "Hệ có vô số nghiệm khi hai phương trình trùng nhau hoàn toàn (mọi hệ số tương ứng tỉ lệ).", "💡 Gợi ý Tầng 1 (Định hướng bối cảnh): " &amp; "Xác định điều kiện để hệ phương trình tuyến tính có vô số nghiệm."))))</f>
        <v/>
      </c>
      <c r="Q83" s="5">
        <f>IF(OR(H83="✅ Đúng", J83="✅ Đúng", L83="✅ Đúng"), "Infinitely Many Solutions: Identical coefficients on both sides =&gt; a = 15.", "🔒 Trả lời đúng để mở khóa Strategic Tip!")</f>
        <v/>
      </c>
    </row>
    <row r="84" ht="15.75" customHeight="1" s="19">
      <c r="A84" s="7" t="inlineStr">
        <is>
          <t>M80</t>
        </is>
      </c>
      <c r="B84" s="7" t="inlineStr">
        <is>
          <t>Math Module 2</t>
        </is>
      </c>
      <c r="C84" s="5" t="inlineStr">
        <is>
          <t>Linear Modeling (Pricing Structure)</t>
        </is>
      </c>
      <c r="D84" s="5" t="inlineStr">
        <is>
          <t>A plumbing company charges 116 dollars for the first hour and 70 dollars for each additional hour, plus parts cost z dollars (x &gt;= 1).</t>
        </is>
      </c>
      <c r="E84" s="5" t="inlineStr">
        <is>
          <t>Calculator Allowed. Which equation represents total cost y?</t>
        </is>
      </c>
      <c r="F84" s="5" t="inlineStr">
        <is>
          <t>A. Lựa chọn A
B. Lựa chọn B
C. Lựa chọn C
D. Lựa chọn D</t>
        </is>
      </c>
      <c r="G84" s="14" t="n"/>
      <c r="H84" s="7">
        <f>IF(ISBLANK(G84), "⏳ Chờ đáp án", IF(UPPER(TRIM(G84))="B", "✅ Đúng", "❌ Sai"))</f>
        <v/>
      </c>
      <c r="I84" s="14" t="n"/>
      <c r="J84" s="7">
        <f>IF(ISBLANK(I84), "", IF(UPPER(TRIM(I84))="B", "✅ Đúng", "❌ Sai"))</f>
        <v/>
      </c>
      <c r="K84" s="14" t="n"/>
      <c r="L84" s="7">
        <f>IF(ISBLANK(K84), "", IF(UPPER(TRIM(K84))="B", "✅ Đúng", "❌ Sai"))</f>
        <v/>
      </c>
      <c r="M84" s="7">
        <f>COUNTIF(H84, "❌ Sai") + COUNTIF(J84, "❌ Sai") + COUNTIF(L84, "❌ Sai")</f>
        <v/>
      </c>
      <c r="N84" s="7">
        <f>IF(ISBLANK(G84), "⏳ Chờ làm", IF(H84="✅ Đúng", "✅ Đúng ngay L1", IF(J84="✅ Đúng", "✅ Đúng ở L2", IF(L84="✅ Đúng", "✅ Đúng ở L3", "❌ Chưa đúng sau 3 lần"))))</f>
        <v/>
      </c>
      <c r="O84" s="13">
        <f>IF(ISBLANK(F84), "💡 Nhập đáp án vào Lần thử 1", IF(G84="✅ Đúng", "✨ Xuất sắc! Bạn đã làm đúng.", "💡 Gợi ý: " &amp; "Phân tích chi phí cố định (hằng số) và chi phí biến đổi (hệ số nhân với số lượng) để lập mô hình."))</f>
        <v/>
      </c>
      <c r="P84" s="5">
        <f>IF(ISBLANK(G84), "💡 Nhập đáp án vào Lần thử 1", IF(OR(H84="✅ Đúng", J84="✅ Đúng", L84="✅ Đúng"), "✨ Xuất sắc! Bạn đã làm đúng.", IF(NOT(ISBLANK(K84)), "💡 Gợi ý Tầng 3 (Chốt phương pháp): " &amp; "Thiết lập biểu thức đại số biểu diễn tổng chi phí.", IF(NOT(ISBLANK(I84)), "💡 Gợi ý Tầng 2 (Manh mối cấu trúc &amp; Loại trừ): " &amp; "Xác định chi phí cố định (b) và chi phí biến đổi theo đơn vị (m).", "💡 Gợi ý Tầng 1 (Định hướng bối cảnh): " &amp; "Mô hình hóa chi phí bằng hàm tuyến tính y = mx + b."))))</f>
        <v/>
      </c>
      <c r="Q84" s="5">
        <f>IF(OR(H84="✅ Đúng", J84="✅ Đúng", L84="✅ Đúng"), "Cost Model: y = First Hour + Additional Hours*(x - 1) + Parts = 116 + 70(x - 1) + z = 70x + z + 46.", "🔒 Trả lời đúng để mở khóa Strategic Tip!")</f>
        <v/>
      </c>
    </row>
    <row r="85" ht="15.75" customHeight="1" s="19">
      <c r="A85" s="7" t="inlineStr">
        <is>
          <t>M81</t>
        </is>
      </c>
      <c r="B85" s="7" t="inlineStr">
        <is>
          <t>Math Module 2</t>
        </is>
      </c>
      <c r="C85" s="5" t="inlineStr">
        <is>
          <t>Absolute Value Functions</t>
        </is>
      </c>
      <c r="D85" s="5" t="inlineStr">
        <is>
          <t>Function h(x) = |x - 8| - |6 - x| + a. Given h(-4) = 1.</t>
        </is>
      </c>
      <c r="E85" s="5" t="inlineStr">
        <is>
          <t>Calculator Allowed. What is the value of a?</t>
        </is>
      </c>
      <c r="F85" s="5" t="inlineStr">
        <is>
          <t>Student-Produced Response (Grid-in)</t>
        </is>
      </c>
      <c r="G85" s="14" t="n"/>
      <c r="H85" s="7">
        <f>IF(ISBLANK(G85), "⏳ Chờ đáp án", IF(UPPER(TRIM(G85))="-1", "✅ Đúng", "❌ Sai"))</f>
        <v/>
      </c>
      <c r="I85" s="14" t="n"/>
      <c r="J85" s="7">
        <f>IF(ISBLANK(I85), "", IF(UPPER(TRIM(I85))="-1", "✅ Đúng", "❌ Sai"))</f>
        <v/>
      </c>
      <c r="K85" s="14" t="n"/>
      <c r="L85" s="7">
        <f>IF(ISBLANK(K85), "", IF(UPPER(TRIM(K85))="-1", "✅ Đúng", "❌ Sai"))</f>
        <v/>
      </c>
      <c r="M85" s="7">
        <f>COUNTIF(H85, "❌ Sai") + COUNTIF(J85, "❌ Sai") + COUNTIF(L85, "❌ Sai")</f>
        <v/>
      </c>
      <c r="N85" s="7">
        <f>IF(ISBLANK(G85), "⏳ Chờ làm", IF(H85="✅ Đúng", "✅ Đúng ngay L1", IF(J85="✅ Đúng", "✅ Đúng ở L2", IF(L85="✅ Đúng", "✅ Đúng ở L3", "❌ Chưa đúng sau 3 lần"))))</f>
        <v/>
      </c>
      <c r="O85" s="13">
        <f>IF(ISBLANK(F85), "💡 Nhập đáp án vào Lần thử 1", IF(G85="✅ Đúng", "✨ Xuất sắc! Bạn đã làm đúng.", "💡 Gợi ý: " &amp; "Xác định tập giá trị của hàm giá trị tuyệt đối y = |f(x)| + k để tìm điểm cực trị."))</f>
        <v/>
      </c>
      <c r="P85" s="5">
        <f>IF(ISBLANK(G85), "💡 Nhập đáp án vào Lần thử 1", IF(OR(H85="✅ Đúng", J85="✅ Đúng", L85="✅ Đúng"), "✨ Xuất sắc! Bạn đã làm đúng.", IF(NOT(ISBLANK(K85)), "💡 Gợi ý Tầng 3 (Chốt phương pháp): " &amp; "Thay giá trị x đề bài yêu cầu vào biểu thức để tính giá trị hàm số.", IF(NOT(ISBLANK(I85)), "💡 Gợi ý Tầng 2 (Manh mối cấu trúc &amp; Loại trừ): " &amp; "Xác định tọa độ đỉnh cực trị (h, k) của hàm số.", "💡 Gợi ý Tầng 1 (Định hướng bối cảnh): " &amp; "Phân tích đồ thị hoặc tập giá trị của hàm giá trị tuyệt đối dạng y = |x - h| + k."))))</f>
        <v/>
      </c>
      <c r="Q85" s="5">
        <f>IF(OR(H85="✅ Đúng", J85="✅ Đúng", L85="✅ Đúng"), "Evaluate h(-4): 12 - 10 + a = 1 =&gt; 2 + a = 1 =&gt; a = -1.", "🔒 Trả lời đúng để mở khóa Strategic Tip!")</f>
        <v/>
      </c>
    </row>
    <row r="86" ht="15.75" customHeight="1" s="19">
      <c r="A86" s="7" t="inlineStr">
        <is>
          <t>M82</t>
        </is>
      </c>
      <c r="B86" s="7" t="inlineStr">
        <is>
          <t>Math Module 2</t>
        </is>
      </c>
      <c r="C86" s="5" t="inlineStr">
        <is>
          <t>Perpendicular Lines Slope</t>
        </is>
      </c>
      <c r="D86" s="5" t="inlineStr">
        <is>
          <t>Line h is defined by 2x + 3y - 30 = 0. Line j is perpendicular to line h in the xy-plane.</t>
        </is>
      </c>
      <c r="E86" s="5" t="inlineStr">
        <is>
          <t>Calculator Allowed. What is the slope of line j?</t>
        </is>
      </c>
      <c r="F86" s="5" t="inlineStr">
        <is>
          <t>A. Lựa chọn A
B. Lựa chọn B
C. Lựa chọn C
D. Lựa chọn D</t>
        </is>
      </c>
      <c r="G86" s="14" t="n"/>
      <c r="H86" s="7">
        <f>IF(ISBLANK(G86), "⏳ Chờ đáp án", IF(UPPER(TRIM(G86))="D", "✅ Đúng", "❌ Sai"))</f>
        <v/>
      </c>
      <c r="I86" s="14" t="n"/>
      <c r="J86" s="7">
        <f>IF(ISBLANK(I86), "", IF(UPPER(TRIM(I86))="D", "✅ Đúng", "❌ Sai"))</f>
        <v/>
      </c>
      <c r="K86" s="14" t="n"/>
      <c r="L86" s="7">
        <f>IF(ISBLANK(K86), "", IF(UPPER(TRIM(K86))="D", "✅ Đúng", "❌ Sai"))</f>
        <v/>
      </c>
      <c r="M86" s="7">
        <f>COUNTIF(H86, "❌ Sai") + COUNTIF(J86, "❌ Sai") + COUNTIF(L86, "❌ Sai")</f>
        <v/>
      </c>
      <c r="N86" s="7">
        <f>IF(ISBLANK(G86), "⏳ Chờ làm", IF(H86="✅ Đúng", "✅ Đúng ngay L1", IF(J86="✅ Đúng", "✅ Đúng ở L2", IF(L86="✅ Đúng", "✅ Đúng ở L3", "❌ Chưa đúng sau 3 lần"))))</f>
        <v/>
      </c>
      <c r="O86" s="13">
        <f>IF(ISBLANK(F86), "💡 Nhập đáp án vào Lần thử 1", IF(G86="✅ Đúng", "✨ Xuất sắc! Bạn đã làm đúng.", "💡 Gợi ý: " &amp; "Hai đường thẳng vuông góc có tích hai hệ số góc bằng -1 (hệ số góc là nghịch đảo đổi dấu)."))</f>
        <v/>
      </c>
      <c r="P86" s="5">
        <f>IF(ISBLANK(G86), "💡 Nhập đáp án vào Lần thử 1", IF(OR(H86="✅ Đúng", J86="✅ Đúng", L86="✅ Đúng"), "✨ Xuất sắc! Bạn đã làm đúng.", IF(NOT(ISBLANK(K86)), "💡 Gợi ý Tầng 3 (Chốt phương pháp): " &amp; "Lấy nghịch đảo và đổi dấu hệ số góc của đường thẳng ban đầu.", IF(NOT(ISBLANK(I86)), "💡 Gợi ý Tầng 2 (Manh mối cấu trúc &amp; Loại trừ): " &amp; "Hai đường thẳng vuông góc có tích hai hệ số góc bằng -1 (m1 * m2 = -1).", "💡 Gợi ý Tầng 1 (Định hướng bối cảnh): " &amp; "Áp dụng tính chất hệ số góc của hai đường thẳng vuông góc."))))</f>
        <v/>
      </c>
      <c r="Q86" s="5">
        <f>IF(OR(H86="✅ Đúng", J86="✅ Đúng", L86="✅ Đúng"), "Perpendicular Slope Condition: m1 * m2 = -1 =&gt; m_j = 3/2.", "🔒 Trả lời đúng để mở khóa Strategic Tip!")</f>
        <v/>
      </c>
    </row>
    <row r="87" ht="15.75" customHeight="1" s="19">
      <c r="A87" s="7" t="inlineStr">
        <is>
          <t>M83</t>
        </is>
      </c>
      <c r="B87" s="7" t="inlineStr">
        <is>
          <t>Math Module 2</t>
        </is>
      </c>
      <c r="C87" s="5" t="inlineStr">
        <is>
          <t>Exponential Population Growth Rate</t>
        </is>
      </c>
      <c r="D87" s="5" t="inlineStr">
        <is>
          <t>Model P(t) = 250(1.08)^t gives the population after t hours.</t>
        </is>
      </c>
      <c r="E87" s="5" t="inlineStr">
        <is>
          <t>Calculator Allowed. By what percentage does the population increase each hour?</t>
        </is>
      </c>
      <c r="F87" s="5" t="inlineStr">
        <is>
          <t>A. 0.08%
B. 8%
C. 25%
D. 108%</t>
        </is>
      </c>
      <c r="G87" s="14" t="n"/>
      <c r="H87" s="7">
        <f>IF(ISBLANK(G87), "⏳ Chờ đáp án", IF(UPPER(TRIM(G87))="B", "✅ Đúng", "❌ Sai"))</f>
        <v/>
      </c>
      <c r="I87" s="14" t="n"/>
      <c r="J87" s="7">
        <f>IF(ISBLANK(I87), "", IF(UPPER(TRIM(I87))="B", "✅ Đúng", "❌ Sai"))</f>
        <v/>
      </c>
      <c r="K87" s="14" t="n"/>
      <c r="L87" s="7">
        <f>IF(ISBLANK(K87), "", IF(UPPER(TRIM(K87))="B", "✅ Đúng", "❌ Sai"))</f>
        <v/>
      </c>
      <c r="M87" s="7">
        <f>COUNTIF(H87, "❌ Sai") + COUNTIF(J87, "❌ Sai") + COUNTIF(L87, "❌ Sai")</f>
        <v/>
      </c>
      <c r="N87" s="7">
        <f>IF(ISBLANK(G87), "⏳ Chờ làm", IF(H87="✅ Đúng", "✅ Đúng ngay L1", IF(J87="✅ Đúng", "✅ Đúng ở L2", IF(L87="✅ Đúng", "✅ Đúng ở L3", "❌ Chưa đúng sau 3 lần"))))</f>
        <v/>
      </c>
      <c r="O87" s="13">
        <f>IF(ISBLANK(F87), "💡 Nhập đáp án vào Lần thử 1", IF(G87="✅ Đúng", "✨ Xuất sắc! Bạn đã làm đúng.", "💡 Gợi ý: " &amp; "Xác định hệ số tăng trưởng trong mô hình mũ y = a(1 + r)^t để tìm tỉ lệ phần trăm tăng hàng năm."))</f>
        <v/>
      </c>
      <c r="P87" s="5">
        <f>IF(ISBLANK(G87), "💡 Nhập đáp án vào Lần thử 1", IF(OR(H87="✅ Đúng", J87="✅ Đúng", L87="✅ Đúng"), "✨ Xuất sắc! Bạn đã làm đúng.", IF(NOT(ISBLANK(K87)), "💡 Gợi ý Tầng 3 (Chốt phương pháp): " &amp; "Chuyển đổi r sang dạng phần trăm %.", IF(NOT(ISBLANK(I87)), "💡 Gợi ý Tầng 2 (Manh mối cấu trúc &amp; Loại trừ): " &amp; "So sánh thừa số cơ số trong ngoặc với dạng (1 + r).", "💡 Gợi ý Tầng 1 (Định hướng bối cảnh): " &amp; "Xác định tỉ lệ tăng trưởng trong mô hình suy giảm/tăng trưởng mũ y = a(1 + r)^t."))))</f>
        <v/>
      </c>
      <c r="Q87" s="5">
        <f>IF(OR(H87="✅ Đúng", J87="✅ Đúng", L87="✅ Đúng"), "Growth Factor = 1 + r =&gt; 1.08 = 1 + 0.08 =&gt; r = 8%.", "🔒 Trả lời đúng để mở khóa Strategic Tip!")</f>
        <v/>
      </c>
    </row>
    <row r="88" ht="15.75" customHeight="1" s="19">
      <c r="A88" s="7" t="inlineStr">
        <is>
          <t>M84</t>
        </is>
      </c>
      <c r="B88" s="7" t="inlineStr">
        <is>
          <t>Math Module 2</t>
        </is>
      </c>
      <c r="C88" s="5" t="inlineStr">
        <is>
          <t>Exponential Cooling Evaluation</t>
        </is>
      </c>
      <c r="D88" s="5" t="inlineStr">
        <is>
          <t>Temperature function g(t) = 296 + (362 - 296)(2.72)^(-0.104t).</t>
        </is>
      </c>
      <c r="E88" s="5" t="inlineStr">
        <is>
          <t>Calculator Allowed. What was the approximate temperature, in kelvins, when the liquid was placed on the table (t = 0)?</t>
        </is>
      </c>
      <c r="F88" s="5" t="inlineStr">
        <is>
          <t>Student-Produced Response (Grid-in)</t>
        </is>
      </c>
      <c r="G88" s="14" t="n"/>
      <c r="H88" s="7">
        <f>IF(ISBLANK(G88), "⏳ Chờ đáp án", IF(UPPER(TRIM(G88))="362", "✅ Đúng", "❌ Sai"))</f>
        <v/>
      </c>
      <c r="I88" s="14" t="n"/>
      <c r="J88" s="7">
        <f>IF(ISBLANK(I88), "", IF(UPPER(TRIM(I88))="362", "✅ Đúng", "❌ Sai"))</f>
        <v/>
      </c>
      <c r="K88" s="14" t="n"/>
      <c r="L88" s="7">
        <f>IF(ISBLANK(K88), "", IF(UPPER(TRIM(K88))="362", "✅ Đúng", "❌ Sai"))</f>
        <v/>
      </c>
      <c r="M88" s="7">
        <f>COUNTIF(H88, "❌ Sai") + COUNTIF(J88, "❌ Sai") + COUNTIF(L88, "❌ Sai")</f>
        <v/>
      </c>
      <c r="N88" s="7">
        <f>IF(ISBLANK(G88), "⏳ Chờ làm", IF(H88="✅ Đúng", "✅ Đúng ngay L1", IF(J88="✅ Đúng", "✅ Đúng ở L2", IF(L88="✅ Đúng", "✅ Đúng ở L3", "❌ Chưa đúng sau 3 lần"))))</f>
        <v/>
      </c>
      <c r="O88" s="13">
        <f>IF(ISBLANK(F88), "💡 Nhập đáp án vào Lần thử 1", IF(G88="✅ Đúng", "✨ Xuất sắc! Bạn đã làm đúng.", "💡 Gợi ý: " &amp; "Thay giá trị biến thời gian t vào công thức suy giảm mũ để tính giá trị còn lại."))</f>
        <v/>
      </c>
      <c r="P88" s="5">
        <f>IF(ISBLANK(G88), "💡 Nhập đáp án vào Lần thử 1", IF(OR(H88="✅ Đúng", J88="✅ Đúng", L88="✅ Đúng"), "✨ Xuất sắc! Bạn đã làm đúng.", IF(NOT(ISBLANK(K88)), "💡 Gợi ý Tầng 3 (Chốt phương pháp): " &amp; "Thực hiện phép tính lũy thừa rồi nhân với hệ số ban đầu.", IF(NOT(ISBLANK(I88)), "💡 Gợi ý Tầng 2 (Manh mối cấu trúc &amp; Loại trừ): " &amp; "Thay giá trị thời gian t đề bài cho vào công thức.", "💡 Gợi ý Tầng 1 (Định hướng bối cảnh): " &amp; "Đánh giá giá trị hàm suy giảm mũ theo thời gian t."))))</f>
        <v/>
      </c>
      <c r="Q88" s="5">
        <f>IF(OR(H88="✅ Đúng", J88="✅ Đúng", L88="✅ Đúng"), "Evaluate at t = 0: g(0) = 296 + (362 - 296) * 1 = 362.", "🔒 Trả lời đúng để mở khóa Strategic Tip!")</f>
        <v/>
      </c>
    </row>
    <row r="89" ht="15.75" customHeight="1" s="19">
      <c r="A89" s="7" t="inlineStr">
        <is>
          <t>M85</t>
        </is>
      </c>
      <c r="B89" s="7" t="inlineStr">
        <is>
          <t>Math Module 2</t>
        </is>
      </c>
      <c r="C89" s="5" t="inlineStr">
        <is>
          <t>Linear Inequalities (Graphing)</t>
        </is>
      </c>
      <c r="D89" s="5" t="inlineStr">
        <is>
          <t>A shaded region lies below the line passing through (0, 4) with slope -3.</t>
        </is>
      </c>
      <c r="E89" s="5" t="inlineStr">
        <is>
          <t>Calculator Allowed. Which inequality represents the shaded region?</t>
        </is>
      </c>
      <c r="F89" s="5" t="inlineStr">
        <is>
          <t>A. Lựa chọn A
B. Lựa chọn B
C. Lựa chọn C
D. Lựa chọn D</t>
        </is>
      </c>
      <c r="G89" s="14" t="n"/>
      <c r="H89" s="7">
        <f>IF(ISBLANK(G89), "⏳ Chờ đáp án", IF(UPPER(TRIM(G89))="C", "✅ Đúng", "❌ Sai"))</f>
        <v/>
      </c>
      <c r="I89" s="14" t="n"/>
      <c r="J89" s="7">
        <f>IF(ISBLANK(I89), "", IF(UPPER(TRIM(I89))="C", "✅ Đúng", "❌ Sai"))</f>
        <v/>
      </c>
      <c r="K89" s="14" t="n"/>
      <c r="L89" s="7">
        <f>IF(ISBLANK(K89), "", IF(UPPER(TRIM(K89))="C", "✅ Đúng", "❌ Sai"))</f>
        <v/>
      </c>
      <c r="M89" s="7">
        <f>COUNTIF(H89, "❌ Sai") + COUNTIF(J89, "❌ Sai") + COUNTIF(L89, "❌ Sai")</f>
        <v/>
      </c>
      <c r="N89" s="7">
        <f>IF(ISBLANK(G89), "⏳ Chờ làm", IF(H89="✅ Đúng", "✅ Đúng ngay L1", IF(J89="✅ Đúng", "✅ Đúng ở L2", IF(L89="✅ Đúng", "✅ Đúng ở L3", "❌ Chưa đúng sau 3 lần"))))</f>
        <v/>
      </c>
      <c r="O89" s="13">
        <f>IF(ISBLANK(F89), "💡 Nhập đáp án vào Lần thử 1", IF(G89="✅ Đúng", "✨ Xuất sắc! Bạn đã làm đúng.", "💡 Gợi ý: " &amp; "Biến đổi bất phương trình về dạng y &lt; mx + b hoặc y &gt; mx + b để xác định miền nghiệm nằm trên hay dưới đường biên."))</f>
        <v/>
      </c>
      <c r="P89" s="5">
        <f>IF(ISBLANK(G89), "💡 Nhập đáp án vào Lần thử 1", IF(OR(H89="✅ Đúng", J89="✅ Đúng", L89="✅ Đúng"), "✨ Xuất sắc! Bạn đã làm đúng.", IF(NOT(ISBLANK(K89)), "💡 Gợi ý Tầng 3 (Chốt phương pháp): " &amp; "Miền nghiệm nằm bên dưới đường biên nếu là dấu '&lt;' hoặc bên trên nếu là dấu '&gt;'.", IF(NOT(ISBLANK(I89)), "💡 Gợi ý Tầng 2 (Manh mối cấu trúc &amp; Loại trừ): " &amp; "Đưa bất phương trình về dạng y &lt; mx + b hoặc y &gt; mx + b.", "💡 Gợi ý Tầng 1 (Định hướng bối cảnh): " &amp; "Xác định miền nghiệm của bất phương trình tuyến tính trên mặt phẳng tọa độ."))))</f>
        <v/>
      </c>
      <c r="Q89" s="5">
        <f>IF(OR(H89="✅ Đúng", J89="✅ Đúng", L89="✅ Đúng"), "Linear Inequality: Region below solid line y = -3x + 4 is y &lt; -3x + 4.", "🔒 Trả lời đúng để mở khóa Strategic Tip!")</f>
        <v/>
      </c>
    </row>
    <row r="90" ht="15.75" customHeight="1" s="19">
      <c r="A90" s="7" t="inlineStr">
        <is>
          <t>M86</t>
        </is>
      </c>
      <c r="B90" s="7" t="inlineStr">
        <is>
          <t>Math Module 2</t>
        </is>
      </c>
      <c r="C90" s="5" t="inlineStr">
        <is>
          <t>Systems of Linear Equations (Substitution)</t>
        </is>
      </c>
      <c r="D90" s="5" t="inlineStr">
        <is>
          <t>System of equations: 3(2x) + 8(9y) = 534 and 3(2x) - 8(9y) = -618.</t>
        </is>
      </c>
      <c r="E90" s="5" t="inlineStr">
        <is>
          <t>Calculator Allowed. What is the value of 2x + 9y?</t>
        </is>
      </c>
      <c r="F90" s="5" t="inlineStr">
        <is>
          <t>A. Lựa chọn A
B. Lựa chọn B
C. Lựa chọn C
D. Lựa chọn D</t>
        </is>
      </c>
      <c r="G90" s="14" t="n"/>
      <c r="H90" s="7">
        <f>IF(ISBLANK(G90), "⏳ Chờ đáp án", IF(UPPER(TRIM(G90))="C", "✅ Đúng", "❌ Sai"))</f>
        <v/>
      </c>
      <c r="I90" s="14" t="n"/>
      <c r="J90" s="7">
        <f>IF(ISBLANK(I90), "", IF(UPPER(TRIM(I90))="C", "✅ Đúng", "❌ Sai"))</f>
        <v/>
      </c>
      <c r="K90" s="14" t="n"/>
      <c r="L90" s="7">
        <f>IF(ISBLANK(K90), "", IF(UPPER(TRIM(K90))="C", "✅ Đúng", "❌ Sai"))</f>
        <v/>
      </c>
      <c r="M90" s="7">
        <f>COUNTIF(H90, "❌ Sai") + COUNTIF(J90, "❌ Sai") + COUNTIF(L90, "❌ Sai")</f>
        <v/>
      </c>
      <c r="N90" s="7">
        <f>IF(ISBLANK(G90), "⏳ Chờ làm", IF(H90="✅ Đúng", "✅ Đúng ngay L1", IF(J90="✅ Đúng", "✅ Đúng ở L2", IF(L90="✅ Đúng", "✅ Đúng ở L3", "❌ Chưa đúng sau 3 lần"))))</f>
        <v/>
      </c>
      <c r="O90" s="13">
        <f>IF(ISBLANK(F90), "💡 Nhập đáp án vào Lần thử 1", IF(G90="✅ Đúng", "✨ Xuất sắc! Bạn đã làm đúng.", "💡 Gợi ý: " &amp; "Sử dụng phương pháp cộng đại số hoặc thế để tìm tọa độ (x, y) rồi tính giá trị của biểu thức đề bài yêu cầu."))</f>
        <v/>
      </c>
      <c r="P90" s="5">
        <f>IF(ISBLANK(G90), "💡 Nhập đáp án vào Lần thử 1", IF(OR(H90="✅ Đúng", J90="✅ Đúng", L90="✅ Đúng"), "✨ Xuất sắc! Bạn đã làm đúng.", IF(NOT(ISBLANK(K90)), "💡 Gợi ý Tầng 3 (Chốt phương pháp): " &amp; "Giải tìm biến thứ nhất rồi thế ngược lại để tìm biến thứ hai.", IF(NOT(ISBLANK(I90)), "💡 Gợi ý Tầng 2 (Manh mối cấu trúc &amp; Loại trừ): " &amp; "Nhân các phương trình với hệ số thích hợp để triệt tiêu một biến.", "💡 Gợi ý Tầng 1 (Định hướng bối cảnh): " &amp; "Giải hệ phương trình tuyến tính hai ẩn bằng phương pháp thế hoặc cộng đại số."))))</f>
        <v/>
      </c>
      <c r="Q90" s="5">
        <f>IF(OR(H90="✅ Đúng", J90="✅ Đúng", L90="✅ Đúng"), "Add equations: 12x = -84 =&gt; x = -7 =&gt; 2x = -14; 144y = 1152 =&gt; 9y = 72 =&gt; -14 + 72 = 58.", "🔒 Trả lời đúng để mở khóa Strategic Tip!")</f>
        <v/>
      </c>
    </row>
    <row r="91" ht="15.75" customHeight="1" s="19">
      <c r="A91" s="7" t="inlineStr">
        <is>
          <t>M87</t>
        </is>
      </c>
      <c r="B91" s="7" t="inlineStr">
        <is>
          <t>Math Module 2</t>
        </is>
      </c>
      <c r="C91" s="5" t="inlineStr">
        <is>
          <t>Quadratic Vertex &amp; Maximum</t>
        </is>
      </c>
      <c r="D91" s="5" t="inlineStr">
        <is>
          <t>Given the function f(x) = -2(x - 3)^2 + 8.</t>
        </is>
      </c>
      <c r="E91" s="5" t="inlineStr">
        <is>
          <t>Calculator Allowed. What is the maximum value of f(x)?</t>
        </is>
      </c>
      <c r="F91" s="5" t="inlineStr">
        <is>
          <t>A. Lựa chọn A
B. Lựa chọn B
C. Lựa chọn C
D. Lựa chọn D</t>
        </is>
      </c>
      <c r="G91" s="14" t="n"/>
      <c r="H91" s="7">
        <f>IF(ISBLANK(G91), "⏳ Chờ đáp án", IF(UPPER(TRIM(G91))="D", "✅ Đúng", "❌ Sai"))</f>
        <v/>
      </c>
      <c r="I91" s="14" t="n"/>
      <c r="J91" s="7">
        <f>IF(ISBLANK(I91), "", IF(UPPER(TRIM(I91))="D", "✅ Đúng", "❌ Sai"))</f>
        <v/>
      </c>
      <c r="K91" s="14" t="n"/>
      <c r="L91" s="7">
        <f>IF(ISBLANK(K91), "", IF(UPPER(TRIM(K91))="D", "✅ Đúng", "❌ Sai"))</f>
        <v/>
      </c>
      <c r="M91" s="7">
        <f>COUNTIF(H91, "❌ Sai") + COUNTIF(J91, "❌ Sai") + COUNTIF(L91, "❌ Sai")</f>
        <v/>
      </c>
      <c r="N91" s="7">
        <f>IF(ISBLANK(G91), "⏳ Chờ làm", IF(H91="✅ Đúng", "✅ Đúng ngay L1", IF(J91="✅ Đúng", "✅ Đúng ở L2", IF(L91="✅ Đúng", "✅ Đúng ở L3", "❌ Chưa đúng sau 3 lần"))))</f>
        <v/>
      </c>
      <c r="O91" s="13">
        <f>IF(ISBLANK(F91), "💡 Nhập đáp án vào Lần thử 1", IF(G91="✅ Đúng", "✨ Xuất sắc! Bạn đã làm đúng.", "💡 Gợi ý: " &amp; "Đưa hàm số bậc hai về dạng đỉnh y = a(x - h)^2 + k để xác định giá trị lớn nhất/nhỏ nhất tại k."))</f>
        <v/>
      </c>
      <c r="P91" s="5">
        <f>IF(ISBLANK(G91), "💡 Nhập đáp án vào Lần thử 1", IF(OR(H91="✅ Đúng", J91="✅ Đúng", L91="✅ Đúng"), "✨ Xuất sắc! Bạn đã làm đúng.", IF(NOT(ISBLANK(K91)), "💡 Gợi ý Tầng 3 (Chốt phương pháp): " &amp; "Giá trị cực đại/cực tiểu chính là tung độ đỉnh k.", IF(NOT(ISBLANK(I91)), "💡 Gợi ý Tầng 2 (Manh mối cấu trúc &amp; Loại trừ): " &amp; "Xác định hoành độ đỉnh x = -b / (2a) hoặc đưa về dạng đỉnh a(x - h)^2 + k.", "💡 Gợi ý Tầng 1 (Định hướng bối cảnh): " &amp; "Tìm giá trị lớn nhất/nhỏ nhất của hàm số bậc hai y = ax^2 + bx + c."))))</f>
        <v/>
      </c>
      <c r="Q91" s="5">
        <f>IF(OR(H91="✅ Đúng", J91="✅ Đúng", L91="✅ Đúng"), "Parabola Vertex (h, k) with a &lt; 0 has maximum value = k = 8.", "🔒 Trả lời đúng để mở khóa Strategic Tip!")</f>
        <v/>
      </c>
    </row>
    <row r="92" ht="15.75" customHeight="1" s="19">
      <c r="A92" s="7" t="inlineStr">
        <is>
          <t>M88</t>
        </is>
      </c>
      <c r="B92" s="7" t="inlineStr">
        <is>
          <t>Math Module 2</t>
        </is>
      </c>
      <c r="C92" s="5" t="inlineStr">
        <is>
          <t>Statistics (Effect of Adding Outlier on Mean &amp; Median)</t>
        </is>
      </c>
      <c r="D92" s="5" t="inlineStr">
        <is>
          <t>A frequency table summarizes ages of 50 coins (mean = 72.5, median = 70). Vivek adds a 51st coin aged 90 years.</t>
        </is>
      </c>
      <c r="E92" s="5" t="inlineStr">
        <is>
          <t>Calculator Allowed. Which statement correctly compares the mean and median ages of the original and new collections?</t>
        </is>
      </c>
      <c r="F92" s="5" t="inlineStr">
        <is>
          <t>A. Lựa chọn A
B. Lựa chọn B
C. Lựa chọn C
D. Lựa chọn D</t>
        </is>
      </c>
      <c r="G92" s="14" t="n"/>
      <c r="H92" s="7">
        <f>IF(ISBLANK(G92), "⏳ Chờ đáp án", IF(UPPER(TRIM(G92))="B", "✅ Đúng", "❌ Sai"))</f>
        <v/>
      </c>
      <c r="I92" s="14" t="n"/>
      <c r="J92" s="7">
        <f>IF(ISBLANK(I92), "", IF(UPPER(TRIM(I92))="B", "✅ Đúng", "❌ Sai"))</f>
        <v/>
      </c>
      <c r="K92" s="14" t="n"/>
      <c r="L92" s="7">
        <f>IF(ISBLANK(K92), "", IF(UPPER(TRIM(K92))="B", "✅ Đúng", "❌ Sai"))</f>
        <v/>
      </c>
      <c r="M92" s="7">
        <f>COUNTIF(H92, "❌ Sai") + COUNTIF(J92, "❌ Sai") + COUNTIF(L92, "❌ Sai")</f>
        <v/>
      </c>
      <c r="N92" s="7">
        <f>IF(ISBLANK(G92), "⏳ Chờ làm", IF(H92="✅ Đúng", "✅ Đúng ngay L1", IF(J92="✅ Đúng", "✅ Đúng ở L2", IF(L92="✅ Đúng", "✅ Đúng ở L3", "❌ Chưa đúng sau 3 lần"))))</f>
        <v/>
      </c>
      <c r="O92" s="13">
        <f>IF(ISBLANK(F92), "💡 Nhập đáp án vào Lần thử 1", IF(G92="✅ Đúng", "✨ Xuất sắc! Bạn đã làm đúng.", "💡 Gợi ý: " &amp; "Phân tích tác động của việc thêm một giá trị ngoại lai (outlier) đối với số trung bình (Mean) và trung vị (Median)."))</f>
        <v/>
      </c>
      <c r="P92" s="5">
        <f>IF(ISBLANK(G92), "💡 Nhập đáp án vào Lần thử 1", IF(OR(H92="✅ Đúng", J92="✅ Đúng", L92="✅ Đúng"), "✨ Xuất sắc! Bạn đã làm đúng.", IF(NOT(ISBLANK(K92)), "💡 Gợi ý Tầng 3 (Chốt phương pháp): " &amp; "Số trung bình Mean sẽ dịch chuyển về phía outlier, trong khi Median ít bị ảnh hưởng.", IF(NOT(ISBLANK(I92)), "💡 Gợi ý Tầng 2 (Manh mối cấu trúc &amp; Loại trừ): " &amp; "So sánh giá trị ngoại lai với số trung bình (Mean) hiện tại.", "💡 Gợi ý Tầng 1 (Định hướng bối cảnh): " &amp; "Đánh giá tác động của việc thêm một giá trị ngoại lai (outlier) vào tập dữ liệu."))))</f>
        <v/>
      </c>
      <c r="Q92" s="5">
        <f>IF(OR(H92="✅ Đúng", J92="✅ Đúng", L92="✅ Đúng"), "Adding a high value increases Mean; Median position remains in the same frequency bin.", "🔒 Trả lời đúng để mở khóa Strategic Tip!")</f>
        <v/>
      </c>
    </row>
    <row r="93" ht="15.75" customHeight="1" s="19">
      <c r="A93" s="7" t="inlineStr">
        <is>
          <t>M89</t>
        </is>
      </c>
      <c r="B93" s="7" t="inlineStr">
        <is>
          <t>Math Module 2</t>
        </is>
      </c>
      <c r="C93" s="5" t="inlineStr">
        <is>
          <t>Non-linear Systems (Circle &amp; Line)</t>
        </is>
      </c>
      <c r="D93" s="5" t="inlineStr">
        <is>
          <t>System of equations: x^2 + y^2 = 64 and y = mx + b/2. Intersect at (-7, y) with y &lt; 0.</t>
        </is>
      </c>
      <c r="E93" s="5" t="inlineStr">
        <is>
          <t>Calculator Allowed. Which expression represents the value of b?</t>
        </is>
      </c>
      <c r="F93" s="5" t="inlineStr">
        <is>
          <t>A. Lựa chọn A
B. Lựa chọn B
C. Lựa chọn C
D. Lựa chọn D</t>
        </is>
      </c>
      <c r="G93" s="14" t="n"/>
      <c r="H93" s="7">
        <f>IF(ISBLANK(G93), "⏳ Chờ đáp án", IF(UPPER(TRIM(G93))="A", "✅ Đúng", "❌ Sai"))</f>
        <v/>
      </c>
      <c r="I93" s="14" t="n"/>
      <c r="J93" s="7">
        <f>IF(ISBLANK(I93), "", IF(UPPER(TRIM(I93))="A", "✅ Đúng", "❌ Sai"))</f>
        <v/>
      </c>
      <c r="K93" s="14" t="n"/>
      <c r="L93" s="7">
        <f>IF(ISBLANK(K93), "", IF(UPPER(TRIM(K93))="A", "✅ Đúng", "❌ Sai"))</f>
        <v/>
      </c>
      <c r="M93" s="7">
        <f>COUNTIF(H93, "❌ Sai") + COUNTIF(J93, "❌ Sai") + COUNTIF(L93, "❌ Sai")</f>
        <v/>
      </c>
      <c r="N93" s="7">
        <f>IF(ISBLANK(G93), "⏳ Chờ làm", IF(H93="✅ Đúng", "✅ Đúng ngay L1", IF(J93="✅ Đúng", "✅ Đúng ở L2", IF(L93="✅ Đúng", "✅ Đúng ở L3", "❌ Chưa đúng sau 3 lần"))))</f>
        <v/>
      </c>
      <c r="O93" s="13">
        <f>IF(ISBLANK(F93), "💡 Nhập đáp án vào Lần thử 1", IF(G93="✅ Đúng", "✨ Xuất sắc! Bạn đã làm đúng.", "💡 Gợi ý: " &amp; "Thế phương trình đường thẳng vào phương trình đường tròn để giải tìm tọa độ giao điểm."))</f>
        <v/>
      </c>
      <c r="P93" s="5">
        <f>IF(ISBLANK(G93), "💡 Nhập đáp án vào Lần thử 1", IF(OR(H93="✅ Đúng", J93="✅ Đúng", L93="✅ Đúng"), "✨ Xuất sắc! Bạn đã làm đúng.", IF(NOT(ISBLANK(K93)), "💡 Gợi ý Tầng 3 (Chốt phương pháp): " &amp; "Giải phương trình bậc hai một ẩn thu được để tìm tọa độ giao điểm.", IF(NOT(ISBLANK(I93)), "💡 Gợi ý Tầng 2 (Manh mối cấu trúc &amp; Loại trừ): " &amp; "Thế biểu thức y (hoặc x) từ phương trình đường thẳng vào phương trình đường tròn.", "💡 Gợi ý Tầng 1 (Định hướng bối cảnh): " &amp; "Giải hệ phương trình gồm đường thẳng và đường tròn."))))</f>
        <v/>
      </c>
      <c r="Q93" s="5">
        <f>IF(OR(H93="✅ Đúng", J93="✅ Đúng", L93="✅ Đúng"), "Substitute (-7, -sqrt(15)) into line equation =&gt; -sqrt(15) = -7m + b/2 =&gt; b = 14m - 2*sqrt(15).", "🔒 Trả lời đúng để mở khóa Strategic Tip!")</f>
        <v/>
      </c>
    </row>
    <row r="94" ht="15.75" customHeight="1" s="19">
      <c r="A94" s="7" t="inlineStr">
        <is>
          <t>M90</t>
        </is>
      </c>
      <c r="B94" s="7" t="inlineStr">
        <is>
          <t>Math Module 2</t>
        </is>
      </c>
      <c r="C94" s="5" t="inlineStr">
        <is>
          <t>Geometry (Similar Triangles)</t>
        </is>
      </c>
      <c r="D94" s="5" t="inlineStr">
        <is>
          <t>In triangle ABC, DE is parallel to AC, BD = AD, BE = 9, and AC = 8.</t>
        </is>
      </c>
      <c r="E94" s="5" t="inlineStr">
        <is>
          <t>Calculator Allowed. What is the length of BC?</t>
        </is>
      </c>
      <c r="F94" s="5" t="inlineStr">
        <is>
          <t>A. Lựa chọn A
B. Lựa chọn B
C. Lựa chọn C
D. Lựa chọn D</t>
        </is>
      </c>
      <c r="G94" s="14" t="n"/>
      <c r="H94" s="7">
        <f>IF(ISBLANK(G94), "⏳ Chờ đáp án", IF(UPPER(TRIM(G94))="B", "✅ Đúng", "❌ Sai"))</f>
        <v/>
      </c>
      <c r="I94" s="14" t="n"/>
      <c r="J94" s="7">
        <f>IF(ISBLANK(I94), "", IF(UPPER(TRIM(I94))="B", "✅ Đúng", "❌ Sai"))</f>
        <v/>
      </c>
      <c r="K94" s="14" t="n"/>
      <c r="L94" s="7">
        <f>IF(ISBLANK(K94), "", IF(UPPER(TRIM(K94))="B", "✅ Đúng", "❌ Sai"))</f>
        <v/>
      </c>
      <c r="M94" s="7">
        <f>COUNTIF(H94, "❌ Sai") + COUNTIF(J94, "❌ Sai") + COUNTIF(L94, "❌ Sai")</f>
        <v/>
      </c>
      <c r="N94" s="7">
        <f>IF(ISBLANK(G94), "⏳ Chờ làm", IF(H94="✅ Đúng", "✅ Đúng ngay L1", IF(J94="✅ Đúng", "✅ Đúng ở L2", IF(L94="✅ Đúng", "✅ Đúng ở L3", "❌ Chưa đúng sau 3 lần"))))</f>
        <v/>
      </c>
      <c r="O94" s="13">
        <f>IF(ISBLANK(F94), "💡 Nhập đáp án vào Lần thử 1", IF(G94="✅ Đúng", "✨ Xuất sắc! Bạn đã làm đúng.", "💡 Gợi ý: " &amp; "Sử dụng tính chất tam giác đồng dạng hoặc đường trung bình để tính độ dài đoạn thẳng tương ứng."))</f>
        <v/>
      </c>
      <c r="P94" s="5">
        <f>IF(ISBLANK(G94), "💡 Nhập đáp án vào Lần thử 1", IF(OR(H94="✅ Đúng", J94="✅ Đúng", L94="✅ Đúng"), "✨ Xuất sắc! Bạn đã làm đúng.", IF(NOT(ISBLANK(K94)), "💡 Gợi ý Tầng 3 (Chốt phương pháp): " &amp; "Giải phương trình tỉ lệ để tính độ dài đoạn thẳng chưa biết.", IF(NOT(ISBLANK(I94)), "💡 Gợi ý Tầng 2 (Manh mối cấu trúc &amp; Loại trừ): " &amp; "Thiết lập tỉ lệ giữa các đoạn thẳng tương ứng.", "💡 Gợi ý Tầng 1 (Định hướng bối cảnh): " &amp; "Áp dụng định lý đường trung bình hoặc tính chất tam giác đồng dạng."))))</f>
        <v/>
      </c>
      <c r="Q94" s="5">
        <f>IF(OR(H94="✅ Đúng", J94="✅ Đúng", L94="✅ Đúng"), "Midpoint Segment Theorem: BC = 2 * BE = 18.", "🔒 Trả lời đúng để mở khóa Strategic Tip!")</f>
        <v/>
      </c>
    </row>
    <row r="95" ht="15.75" customHeight="1" s="19">
      <c r="A95" s="7" t="inlineStr">
        <is>
          <t>M91</t>
        </is>
      </c>
      <c r="B95" s="7" t="inlineStr">
        <is>
          <t>Math Module 2</t>
        </is>
      </c>
      <c r="C95" s="5" t="inlineStr">
        <is>
          <t>Systems of Equations Evaluation</t>
        </is>
      </c>
      <c r="D95" s="5" t="inlineStr">
        <is>
          <t>System of equations: 2x + 3y = 19 and 2x - y = 3.</t>
        </is>
      </c>
      <c r="E95" s="5" t="inlineStr">
        <is>
          <t>Calculator Allowed. What is the value of x + y?</t>
        </is>
      </c>
      <c r="F95" s="5" t="inlineStr">
        <is>
          <t>A. Lựa chọn A
B. Lựa chọn B
C. Lựa chọn C
D. Lựa chọn D</t>
        </is>
      </c>
      <c r="G95" s="14" t="n"/>
      <c r="H95" s="7">
        <f>IF(ISBLANK(G95), "⏳ Chờ đáp án", IF(UPPER(TRIM(G95))="C", "✅ Đúng", "❌ Sai"))</f>
        <v/>
      </c>
      <c r="I95" s="14" t="n"/>
      <c r="J95" s="7">
        <f>IF(ISBLANK(I95), "", IF(UPPER(TRIM(I95))="C", "✅ Đúng", "❌ Sai"))</f>
        <v/>
      </c>
      <c r="K95" s="14" t="n"/>
      <c r="L95" s="7">
        <f>IF(ISBLANK(K95), "", IF(UPPER(TRIM(K95))="C", "✅ Đúng", "❌ Sai"))</f>
        <v/>
      </c>
      <c r="M95" s="7">
        <f>COUNTIF(H95, "❌ Sai") + COUNTIF(J95, "❌ Sai") + COUNTIF(L95, "❌ Sai")</f>
        <v/>
      </c>
      <c r="N95" s="7">
        <f>IF(ISBLANK(G95), "⏳ Chờ làm", IF(H95="✅ Đúng", "✅ Đúng ngay L1", IF(J95="✅ Đúng", "✅ Đúng ở L2", IF(L95="✅ Đúng", "✅ Đúng ở L3", "❌ Chưa đúng sau 3 lần"))))</f>
        <v/>
      </c>
      <c r="O95" s="13">
        <f>IF(ISBLANK(F95), "💡 Nhập đáp án vào Lần thử 1", IF(G95="✅ Đúng", "✨ Xuất sắc! Bạn đã làm đúng.", "💡 Gợi ý: " &amp; "Trừ hoặc cộng hai phương trình theo vế để tìm giá trị x, y rồi tính biểu thức cần tìm."))</f>
        <v/>
      </c>
      <c r="P95" s="5">
        <f>IF(ISBLANK(G95), "💡 Nhập đáp án vào Lần thử 1", IF(OR(H95="✅ Đúng", J95="✅ Đúng", L95="✅ Đúng"), "✨ Xuất sắc! Bạn đã làm đúng.", IF(NOT(ISBLANK(K95)), "💡 Gợi ý Tầng 3 (Chốt phương pháp): " &amp; "Thực hiện phép cộng/trừ hai phương trình theo vế.", IF(NOT(ISBLANK(I95)), "💡 Gợi ý Tầng 2 (Manh mối cấu trúc &amp; Loại trừ): " &amp; "Sử dụng phương pháp cộng đại số để tìm trực tiếp biểu thức đề bài yêu cầu.", "💡 Gợi ý Tầng 1 (Định hướng bối cảnh): " &amp; "Giải hệ phương trình tuyến tính hai ẩn."))))</f>
        <v/>
      </c>
      <c r="Q95" s="5">
        <f>IF(OR(H95="✅ Đúng", J95="✅ Đúng", L95="✅ Đúng"), "Solve system: y = 4, x = 3 =&gt; x + y = 7.", "🔒 Trả lời đúng để mở khóa Strategic Tip!")</f>
        <v/>
      </c>
    </row>
    <row r="96" ht="15.75" customHeight="1" s="19">
      <c r="A96" s="7" t="inlineStr">
        <is>
          <t>M92</t>
        </is>
      </c>
      <c r="B96" s="7" t="inlineStr">
        <is>
          <t>Math Module 2</t>
        </is>
      </c>
      <c r="C96" s="5" t="inlineStr">
        <is>
          <t>Statistics (Sampling Bias)</t>
        </is>
      </c>
      <c r="D96" s="5" t="inlineStr">
        <is>
          <t>A study on melatonin levels sampled 125 gamers from 3 countries (Sweden 25, South Korea 49, US 51).</t>
        </is>
      </c>
      <c r="E96" s="5" t="inlineStr">
        <is>
          <t>Calculator Allowed. Which aspect prevents the results from being generalized to ALL gamers globally?</t>
        </is>
      </c>
      <c r="F96" s="5" t="inlineStr">
        <is>
          <t>A. Lựa chọn A
B. Lựa chọn B
C. Lựa chọn C
D. Lựa chọn D</t>
        </is>
      </c>
      <c r="G96" s="14" t="n"/>
      <c r="H96" s="7">
        <f>IF(ISBLANK(G96), "⏳ Chờ đáp án", IF(UPPER(TRIM(G96))="A", "✅ Đúng", "❌ Sai"))</f>
        <v/>
      </c>
      <c r="I96" s="14" t="n"/>
      <c r="J96" s="7">
        <f>IF(ISBLANK(I96), "", IF(UPPER(TRIM(I96))="A", "✅ Đúng", "❌ Sai"))</f>
        <v/>
      </c>
      <c r="K96" s="14" t="n"/>
      <c r="L96" s="7">
        <f>IF(ISBLANK(K96), "", IF(UPPER(TRIM(K96))="A", "✅ Đúng", "❌ Sai"))</f>
        <v/>
      </c>
      <c r="M96" s="7">
        <f>COUNTIF(H96, "❌ Sai") + COUNTIF(J96, "❌ Sai") + COUNTIF(L96, "❌ Sai")</f>
        <v/>
      </c>
      <c r="N96" s="7">
        <f>IF(ISBLANK(G96), "⏳ Chờ làm", IF(H96="✅ Đúng", "✅ Đúng ngay L1", IF(J96="✅ Đúng", "✅ Đúng ở L2", IF(L96="✅ Đúng", "✅ Đúng ở L3", "❌ Chưa đúng sau 3 lần"))))</f>
        <v/>
      </c>
      <c r="O96" s="13">
        <f>IF(ISBLANK(F96), "💡 Nhập đáp án vào Lần thử 1", IF(G96="✅ Đúng", "✨ Xuất sắc! Bạn đã làm đúng.", "💡 Gợi ý: " &amp; "Đánh giá tính đại diện của mẫu khảo sát; mẫu không ngẫu nhiên hoặc bị giới hạn phạm vi sẽ gây ra sai số chọn mẫu."))</f>
        <v/>
      </c>
      <c r="P96" s="5">
        <f>IF(ISBLANK(G96), "💡 Nhập đáp án vào Lần thử 1", IF(OR(H96="✅ Đúng", J96="✅ Đúng", L96="✅ Đúng"), "✨ Xuất sắc! Bạn đã làm đúng.", IF(NOT(ISBLANK(K96)), "💡 Gợi ý Tầng 3 (Chốt phương pháp): " &amp; "Mẫu bị giới hạn phạm vi sẽ gây ra sai số chọn mẫu (sampling bias) và không thể suy rộng.", IF(NOT(ISBLANK(I96)), "💡 Gợi ý Tầng 2 (Manh mối cấu trúc &amp; Loại trừ): " &amp; "Kiểm tra xem mẫu khảo sát có được chọn ngẫu nhiên từ toàn bộ quần thể hay không.", "💡 Gợi ý Tầng 1 (Định hướng bối cảnh): " &amp; "Phân tích tính đại diện của mẫu khảo sát thống kê."))))</f>
        <v/>
      </c>
      <c r="Q96" s="5">
        <f>IF(OR(H96="✅ Đúng", J96="✅ Đúng", L96="✅ Đúng"), "Generalizability requires random sampling from the target population.", "🔒 Trả lời đúng để mở khóa Strategic Tip!")</f>
        <v/>
      </c>
    </row>
    <row r="97" ht="15.75" customHeight="1" s="19">
      <c r="A97" s="7" t="inlineStr">
        <is>
          <t>M93</t>
        </is>
      </c>
      <c r="B97" s="7" t="inlineStr">
        <is>
          <t>Math Module 2</t>
        </is>
      </c>
      <c r="C97" s="5" t="inlineStr">
        <is>
          <t>Trigonometry (Right Triangle Ratios)</t>
        </is>
      </c>
      <c r="D97" s="5" t="inlineStr">
        <is>
          <t>In right triangle ABC with right angle C = 90 deg, cos A = 5/13.</t>
        </is>
      </c>
      <c r="E97" s="5" t="inlineStr">
        <is>
          <t>Calculator Allowed. What is the value of tan A?</t>
        </is>
      </c>
      <c r="F97" s="5" t="inlineStr">
        <is>
          <t>A. Lựa chọn A
B. Lựa chọn B
C. Lựa chọn C
D. Lựa chọn D</t>
        </is>
      </c>
      <c r="G97" s="14" t="n"/>
      <c r="H97" s="7">
        <f>IF(ISBLANK(G97), "⏳ Chờ đáp án", IF(UPPER(TRIM(G97))="A", "✅ Đúng", "❌ Sai"))</f>
        <v/>
      </c>
      <c r="I97" s="14" t="n"/>
      <c r="J97" s="7">
        <f>IF(ISBLANK(I97), "", IF(UPPER(TRIM(I97))="A", "✅ Đúng", "❌ Sai"))</f>
        <v/>
      </c>
      <c r="K97" s="14" t="n"/>
      <c r="L97" s="7">
        <f>IF(ISBLANK(K97), "", IF(UPPER(TRIM(K97))="A", "✅ Đúng", "❌ Sai"))</f>
        <v/>
      </c>
      <c r="M97" s="7">
        <f>COUNTIF(H97, "❌ Sai") + COUNTIF(J97, "❌ Sai") + COUNTIF(L97, "❌ Sai")</f>
        <v/>
      </c>
      <c r="N97" s="7">
        <f>IF(ISBLANK(G97), "⏳ Chờ làm", IF(H97="✅ Đúng", "✅ Đúng ngay L1", IF(J97="✅ Đúng", "✅ Đúng ở L2", IF(L97="✅ Đúng", "✅ Đúng ở L3", "❌ Chưa đúng sau 3 lần"))))</f>
        <v/>
      </c>
      <c r="O97" s="13">
        <f>IF(ISBLANK(F97), "💡 Nhập đáp án vào Lần thử 1", IF(G97="✅ Đúng", "✨ Xuất sắc! Bạn đã làm đúng.", "💡 Gợi ý: " &amp; "Sử dụng bộ ba số Pitago và các tỉ số lượng giác cơ bản (sin, cos, tan) trong tam giác vuông."))</f>
        <v/>
      </c>
      <c r="P97" s="5">
        <f>IF(ISBLANK(G97), "💡 Nhập đáp án vào Lần thử 1", IF(OR(H97="✅ Đúng", J97="✅ Đúng", L97="✅ Đúng"), "✨ Xuất sắc! Bạn đã làm đúng.", IF(NOT(ISBLANK(K97)), "💡 Gợi ý Tầng 3 (Chốt phương pháp): " &amp; "Tính tỉ số lượng giác (sin = Đối/Huyền, cos = Kề/Huyền, tan = Đối/Kề) tương ứng.", IF(NOT(ISBLANK(I97)), "💡 Gợi ý Tầng 2 (Manh mối cấu trúc &amp; Loại trừ): " &amp; "Sử dụng định lý Pitago a^2 + b^2 = c^2 để tìm độ dài cạnh còn thiếu.", "💡 Gợi ý Tầng 1 (Định hướng bối cảnh): " &amp; "Áp dụng tỉ số lượng giác trong tam giác vuông."))))</f>
        <v/>
      </c>
      <c r="Q97" s="5">
        <f>IF(OR(H97="✅ Đúng", J97="✅ Đúng", L97="✅ Đúng"), "5-12-13 Right Triangle: cos A = 5/13 =&gt; sin A = 12/13 =&gt; tan A = 12/5.", "🔒 Trả lời đúng để mở khóa Strategic Tip!")</f>
        <v/>
      </c>
    </row>
    <row r="98" ht="15.75" customHeight="1" s="19">
      <c r="A98" s="7" t="inlineStr">
        <is>
          <t>M94</t>
        </is>
      </c>
      <c r="B98" s="7" t="inlineStr">
        <is>
          <t>Math Module 2</t>
        </is>
      </c>
      <c r="C98" s="5" t="inlineStr">
        <is>
          <t>Percentages (Percent Increase)</t>
        </is>
      </c>
      <c r="D98" s="5" t="inlineStr">
        <is>
          <t>Guests used the pool for t hours in March and 3.41t hours in April.</t>
        </is>
      </c>
      <c r="E98" s="5" t="inlineStr">
        <is>
          <t>Calculator Allowed. What is the percent increase in pool usage from March to April?</t>
        </is>
      </c>
      <c r="F98" s="5" t="inlineStr">
        <is>
          <t>A. Lựa chọn A
B. Lựa chọn B
C. Lựa chọn C
D. Lựa chọn D</t>
        </is>
      </c>
      <c r="G98" s="14" t="n"/>
      <c r="H98" s="7">
        <f>IF(ISBLANK(G98), "⏳ Chờ đáp án", IF(UPPER(TRIM(G98))="C", "✅ Đúng", "❌ Sai"))</f>
        <v/>
      </c>
      <c r="I98" s="14" t="n"/>
      <c r="J98" s="7">
        <f>IF(ISBLANK(I98), "", IF(UPPER(TRIM(I98))="C", "✅ Đúng", "❌ Sai"))</f>
        <v/>
      </c>
      <c r="K98" s="14" t="n"/>
      <c r="L98" s="7">
        <f>IF(ISBLANK(K98), "", IF(UPPER(TRIM(K98))="C", "✅ Đúng", "❌ Sai"))</f>
        <v/>
      </c>
      <c r="M98" s="7">
        <f>COUNTIF(H98, "❌ Sai") + COUNTIF(J98, "❌ Sai") + COUNTIF(L98, "❌ Sai")</f>
        <v/>
      </c>
      <c r="N98" s="7">
        <f>IF(ISBLANK(G98), "⏳ Chờ làm", IF(H98="✅ Đúng", "✅ Đúng ngay L1", IF(J98="✅ Đúng", "✅ Đúng ở L2", IF(L98="✅ Đúng", "✅ Đúng ở L3", "❌ Chưa đúng sau 3 lần"))))</f>
        <v/>
      </c>
      <c r="O98" s="13">
        <f>IF(ISBLANK(F98), "💡 Nhập đáp án vào Lần thử 1", IF(G98="✅ Đúng", "✨ Xuất sắc! Bạn đã làm đúng.", "💡 Gợi ý: " &amp; "Sử dụng công thức tính tỉ lệ phần trăm tăng: Percent Increase = (Giá trị mới - Giá trị cũ) / Giá trị cũ * 100%."))</f>
        <v/>
      </c>
      <c r="P98" s="5">
        <f>IF(ISBLANK(G98), "💡 Nhập đáp án vào Lần thử 1", IF(OR(H98="✅ Đúng", J98="✅ Đúng", L98="✅ Đúng"), "✨ Xuất sắc! Bạn đã làm đúng.", IF(NOT(ISBLANK(K98)), "💡 Gợi ý Tầng 3 (Chốt phương pháp): " &amp; "Thực hiện phép chia rồi nhân với 100%.", IF(NOT(ISBLANK(I98)), "💡 Gợi ý Tầng 2 (Manh mối cấu trúc &amp; Loại trừ): " &amp; "Áp dụng công thức Percent Increase = (Mới - Cũ) / Cũ x 100%.", "💡 Gợi ý Tầng 1 (Định hướng bối cảnh): " &amp; "Tính tỉ lệ phần trăm tăng giữa hai giá trị."))))</f>
        <v/>
      </c>
      <c r="Q98" s="5">
        <f>IF(OR(H98="✅ Đúng", J98="✅ Đúng", L98="✅ Đúng"), "Percent Increase = (3.41 - 1) * 100% = 241%.", "🔒 Trả lời đúng để mở khóa Strategic Tip!")</f>
        <v/>
      </c>
    </row>
    <row r="99" ht="15.75" customHeight="1" s="19">
      <c r="A99" s="7" t="inlineStr">
        <is>
          <t>M95</t>
        </is>
      </c>
      <c r="B99" s="7" t="inlineStr">
        <is>
          <t>Math Module 2</t>
        </is>
      </c>
      <c r="C99" s="5" t="inlineStr">
        <is>
          <t>Algebraic Expansion &amp; Coefficients</t>
        </is>
      </c>
      <c r="D99" s="5" t="inlineStr">
        <is>
          <t>The expression [4(3x - 4)^2 + 6(3x - 2)^2] / 4 can be rewritten as (a/4)x^2 + (b/4)x + (c/4).</t>
        </is>
      </c>
      <c r="E99" s="5" t="inlineStr">
        <is>
          <t>Calculator Allowed. What is the value of a + b + c?</t>
        </is>
      </c>
      <c r="F99" s="5" t="inlineStr">
        <is>
          <t>A. Lựa chọn A
B. Lựa chọn B
C. Lựa chọn C
D. Lựa chọn D</t>
        </is>
      </c>
      <c r="G99" s="14" t="n"/>
      <c r="H99" s="7">
        <f>IF(ISBLANK(G99), "⏳ Chờ đáp án", IF(UPPER(TRIM(G99))="A", "✅ Đúng", "❌ Sai"))</f>
        <v/>
      </c>
      <c r="I99" s="14" t="n"/>
      <c r="J99" s="7">
        <f>IF(ISBLANK(I99), "", IF(UPPER(TRIM(I99))="A", "✅ Đúng", "❌ Sai"))</f>
        <v/>
      </c>
      <c r="K99" s="14" t="n"/>
      <c r="L99" s="7">
        <f>IF(ISBLANK(K99), "", IF(UPPER(TRIM(K99))="A", "✅ Đúng", "❌ Sai"))</f>
        <v/>
      </c>
      <c r="M99" s="7">
        <f>COUNTIF(H99, "❌ Sai") + COUNTIF(J99, "❌ Sai") + COUNTIF(L99, "❌ Sai")</f>
        <v/>
      </c>
      <c r="N99" s="7">
        <f>IF(ISBLANK(G99), "⏳ Chờ làm", IF(H99="✅ Đúng", "✅ Đúng ngay L1", IF(J99="✅ Đúng", "✅ Đúng ở L2", IF(L99="✅ Đúng", "✅ Đúng ở L3", "❌ Chưa đúng sau 3 lần"))))</f>
        <v/>
      </c>
      <c r="O99" s="13">
        <f>IF(ISBLANK(F99), "💡 Nhập đáp án vào Lần thử 1", IF(G99="✅ Đúng", "✨ Xuất sắc! Bạn đã làm đúng.", "💡 Gợi ý: " &amp; "Khai triển và thu gọn biểu thức đại số, sau đó đồng nhất các hệ số tương ứng."))</f>
        <v/>
      </c>
      <c r="P99" s="5">
        <f>IF(ISBLANK(G99), "💡 Nhập đáp án vào Lần thử 1", IF(OR(H99="✅ Đúng", J99="✅ Đúng", L99="✅ Đúng"), "✨ Xuất sắc! Bạn đã làm đúng.", IF(NOT(ISBLANK(K99)), "💡 Gợi ý Tầng 3 (Chốt phương pháp): " &amp; "Đồng nhất các hệ số tương ứng ở hai vế để tính tổng các hệ số.", IF(NOT(ISBLANK(I99)), "💡 Gợi ý Tầng 2 (Manh mối cấu trúc &amp; Loại trừ): " &amp; "Nhân các đa thức và nhóm các số hạng đồng dạng.", "💡 Gợi ý Tầng 1 (Định hướng bối cảnh): " &amp; "Khai triển và thu gọn biểu thức đa thức."))))</f>
        <v/>
      </c>
      <c r="Q99" s="5">
        <f>IF(OR(H99="✅ Đúng", J99="✅ Đúng", L99="✅ Đúng"), "Evaluate at x = 1 to find sum of coefficients a + b + c.", "🔒 Trả lời đúng để mở khóa Strategic Tip!")</f>
        <v/>
      </c>
    </row>
    <row r="100" ht="15.75" customHeight="1" s="19">
      <c r="A100" s="7" t="inlineStr">
        <is>
          <t>M96</t>
        </is>
      </c>
      <c r="B100" s="7" t="inlineStr">
        <is>
          <t>Math Module 2</t>
        </is>
      </c>
      <c r="C100" s="5" t="inlineStr">
        <is>
          <t>Consecutive Integers Inequality</t>
        </is>
      </c>
      <c r="D100" s="5" t="inlineStr">
        <is>
          <t>The sum of three consecutive even integers is less than 123. The least integer is x.</t>
        </is>
      </c>
      <c r="E100" s="5" t="inlineStr">
        <is>
          <t>Calculator Allowed. What is the greatest possible value of x?</t>
        </is>
      </c>
      <c r="F100" s="5" t="inlineStr">
        <is>
          <t>A. Lựa chọn A
B. Lựa chọn B
C. Lựa chọn C
D. Lựa chọn D</t>
        </is>
      </c>
      <c r="G100" s="14" t="n"/>
      <c r="H100" s="7">
        <f>IF(ISBLANK(G100), "⏳ Chờ đáp án", IF(UPPER(TRIM(G100))="D", "✅ Đúng", "❌ Sai"))</f>
        <v/>
      </c>
      <c r="I100" s="14" t="n"/>
      <c r="J100" s="7">
        <f>IF(ISBLANK(I100), "", IF(UPPER(TRIM(I100))="D", "✅ Đúng", "❌ Sai"))</f>
        <v/>
      </c>
      <c r="K100" s="14" t="n"/>
      <c r="L100" s="7">
        <f>IF(ISBLANK(K100), "", IF(UPPER(TRIM(K100))="D", "✅ Đúng", "❌ Sai"))</f>
        <v/>
      </c>
      <c r="M100" s="7">
        <f>COUNTIF(H100, "❌ Sai") + COUNTIF(J100, "❌ Sai") + COUNTIF(L100, "❌ Sai")</f>
        <v/>
      </c>
      <c r="N100" s="7">
        <f>IF(ISBLANK(G100), "⏳ Chờ làm", IF(H100="✅ Đúng", "✅ Đúng ngay L1", IF(J100="✅ Đúng", "✅ Đúng ở L2", IF(L100="✅ Đúng", "✅ Đúng ở L3", "❌ Chưa đúng sau 3 lần"))))</f>
        <v/>
      </c>
      <c r="O100" s="13">
        <f>IF(ISBLANK(F100), "💡 Nhập đáp án vào Lần thử 1", IF(G100="✅ Đúng", "✨ Xuất sắc! Bạn đã làm đúng.", "💡 Gợi ý: " &amp; "Lập bất phương trình cho tổng các số nguyên liên tiếp và giải tìm giá trị số nguyên thỏa mãn."))</f>
        <v/>
      </c>
      <c r="P100" s="5">
        <f>IF(ISBLANK(G100), "💡 Nhập đáp án vào Lần thử 1", IF(OR(H100="✅ Đúng", J100="✅ Đúng", L100="✅ Đúng"), "✨ Xuất sắc! Bạn đã làm đúng.", IF(NOT(ISBLANK(K100)), "💡 Gợi ý Tầng 3 (Chốt phương pháp): " &amp; "Giải bất phương trình thu được để tìm giá trị số nguyên lớn nhất thỏa mãn.", IF(NOT(ISBLANK(I100)), "💡 Gợi ý Tầng 2 (Manh mối cấu trúc &amp; Loại trừ): " &amp; "Biểu diễn các số nguyên liên tiếp dưới dạng x, x + 2, x + 4 (nếu là số chẵn/lẻ).", "💡 Gợi ý Tầng 1 (Định hướng bối cảnh): " &amp; "Thiết lập bất phương trình cho tổng các số nguyên liên tiếp."))))</f>
        <v/>
      </c>
      <c r="Q100" s="5">
        <f>IF(OR(H100="✅ Đúng", J100="✅ Đúng", L100="✅ Đúng"), "3x + 6 &lt; 123 =&gt; x &lt; 39. Greatest even integer is 38.", "🔒 Trả lời đúng để mở khóa Strategic Tip!")</f>
        <v/>
      </c>
    </row>
    <row r="101" ht="15.75" customHeight="1" s="19">
      <c r="A101" s="7" t="inlineStr">
        <is>
          <t>M97</t>
        </is>
      </c>
      <c r="B101" s="7" t="inlineStr">
        <is>
          <t>Math Module 2</t>
        </is>
      </c>
      <c r="C101" s="5" t="inlineStr">
        <is>
          <t>Similar 3D Solids (Area &amp; Volume Ratios)</t>
        </is>
      </c>
      <c r="D101" s="5" t="inlineStr">
        <is>
          <t>Prism X is similar to Prism Y. Surface area X = 52 cm^2, Surface area Y = 832 cm^2. Volume X = 10.5 cm^3.</t>
        </is>
      </c>
      <c r="E101" s="5" t="inlineStr">
        <is>
          <t>Calculator Allowed. What is the volume, in cm^3, of right rectangular prism Y?</t>
        </is>
      </c>
      <c r="F101" s="5" t="inlineStr">
        <is>
          <t>Student-Produced Response (Grid-in)</t>
        </is>
      </c>
      <c r="G101" s="14" t="n"/>
      <c r="H101" s="7">
        <f>IF(ISBLANK(G101), "⏳ Chờ đáp án", IF(UPPER(TRIM(G101))="672", "✅ Đúng", "❌ Sai"))</f>
        <v/>
      </c>
      <c r="I101" s="14" t="n"/>
      <c r="J101" s="7">
        <f>IF(ISBLANK(I101), "", IF(UPPER(TRIM(I101))="672", "✅ Đúng", "❌ Sai"))</f>
        <v/>
      </c>
      <c r="K101" s="14" t="n"/>
      <c r="L101" s="7">
        <f>IF(ISBLANK(K101), "", IF(UPPER(TRIM(K101))="672", "✅ Đúng", "❌ Sai"))</f>
        <v/>
      </c>
      <c r="M101" s="7">
        <f>COUNTIF(H101, "❌ Sai") + COUNTIF(J101, "❌ Sai") + COUNTIF(L101, "❌ Sai")</f>
        <v/>
      </c>
      <c r="N101" s="7">
        <f>IF(ISBLANK(G101), "⏳ Chờ làm", IF(H101="✅ Đúng", "✅ Đúng ngay L1", IF(J101="✅ Đúng", "✅ Đúng ở L2", IF(L101="✅ Đúng", "✅ Đúng ở L3", "❌ Chưa đúng sau 3 lần"))))</f>
        <v/>
      </c>
      <c r="O101" s="13">
        <f>IF(ISBLANK(F101), "💡 Nhập đáp án vào Lần thử 1", IF(G101="✅ Đúng", "✨ Xuất sắc! Bạn đã làm đúng.", "💡 Gợi ý: " &amp; "Nếu hai hình đồng dạng có tỉ lệ chiều dài là k, thì tỉ lệ diện tích là k^2 và tỉ lệ thể tích là k^3."))</f>
        <v/>
      </c>
      <c r="P101" s="5">
        <f>IF(ISBLANK(G101), "💡 Nhập đáp án vào Lần thử 1", IF(OR(H101="✅ Đúng", J101="✅ Đúng", L101="✅ Đúng"), "✨ Xuất sắc! Bạn đã làm đúng.", IF(NOT(ISBLANK(K101)), "💡 Gợi ý Tầng 3 (Chốt phương pháp): " &amp; "Nhân thể tích hình ban đầu với tỉ lệ k^3 để tìm thể tích hình mới.", IF(NOT(ISBLANK(I101)), "💡 Gợi ý Tầng 2 (Manh mối cấu trúc &amp; Loại trừ): " &amp; "Nếu tỉ lệ diện tích là k^2, suy ra tỉ lệ chiều dài là k và tỉ lệ thể tích là k^3.", "💡 Gợi ý Tầng 1 (Định hướng bối cảnh): " &amp; "Áp dụng mối quan hệ giữa tỉ lệ kích thước, diện tích và thể tích của hai hình đồng dạng."))))</f>
        <v/>
      </c>
      <c r="Q101" s="5">
        <f>IF(OR(H101="✅ Đúng", J101="✅ Đúng", L101="✅ Đúng"), "Area ratio k^2 = 16 =&gt; k = 4 =&gt; Volume ratio k^3 = 64 =&gt; Vol Y = 10.5 * 64 = 672.", "🔒 Trả lời đúng để mở khóa Strategic Tip!")</f>
        <v/>
      </c>
    </row>
    <row r="102" ht="15.75" customHeight="1" s="19">
      <c r="A102" s="7" t="inlineStr">
        <is>
          <t>M98</t>
        </is>
      </c>
      <c r="B102" s="7" t="inlineStr">
        <is>
          <t>Math Module 2</t>
        </is>
      </c>
      <c r="C102" s="5" t="inlineStr">
        <is>
          <t>Quadratic Equation (Sum of Roots)</t>
        </is>
      </c>
      <c r="D102" s="5" t="inlineStr">
        <is>
          <t>Equation: 18(w - a)(w + 5) = 6(w + 5). The sum of solutions is 37/3.</t>
        </is>
      </c>
      <c r="E102" s="5" t="inlineStr">
        <is>
          <t>Calculator Allowed. What is the value of a?</t>
        </is>
      </c>
      <c r="F102" s="5" t="inlineStr">
        <is>
          <t>Student-Produced Response (Grid-in)</t>
        </is>
      </c>
      <c r="G102" s="14" t="n"/>
      <c r="H102" s="7">
        <f>IF(ISBLANK(G102), "⏳ Chờ đáp án", IF(UPPER(TRIM(G102))="17", "✅ Đúng", "❌ Sai"))</f>
        <v/>
      </c>
      <c r="I102" s="14" t="n"/>
      <c r="J102" s="7">
        <f>IF(ISBLANK(I102), "", IF(UPPER(TRIM(I102))="17", "✅ Đúng", "❌ Sai"))</f>
        <v/>
      </c>
      <c r="K102" s="14" t="n"/>
      <c r="L102" s="7">
        <f>IF(ISBLANK(K102), "", IF(UPPER(TRIM(K102))="17", "✅ Đúng", "❌ Sai"))</f>
        <v/>
      </c>
      <c r="M102" s="7">
        <f>COUNTIF(H102, "❌ Sai") + COUNTIF(J102, "❌ Sai") + COUNTIF(L102, "❌ Sai")</f>
        <v/>
      </c>
      <c r="N102" s="7">
        <f>IF(ISBLANK(G102), "⏳ Chờ làm", IF(H102="✅ Đúng", "✅ Đúng ngay L1", IF(J102="✅ Đúng", "✅ Đúng ở L2", IF(L102="✅ Đúng", "✅ Đúng ở L3", "❌ Chưa đúng sau 3 lần"))))</f>
        <v/>
      </c>
      <c r="O102" s="13">
        <f>IF(ISBLANK(F102), "💡 Nhập đáp án vào Lần thử 1", IF(G102="✅ Đúng", "✨ Xuất sắc! Bạn đã làm đúng.", "💡 Gợi ý: " &amp; "Sử dụng định lý Viète về tổng các nghiệm x1 + x2 = -b/a hoặc biến đổi phương trình về dạng tích."))</f>
        <v/>
      </c>
      <c r="P102" s="5">
        <f>IF(ISBLANK(G102), "💡 Nhập đáp án vào Lần thử 1", IF(OR(H102="✅ Đúng", J102="✅ Đúng", L102="✅ Đúng"), "✨ Xuất sắc! Bạn đã làm đúng.", IF(NOT(ISBLANK(K102)), "💡 Gợi ý Tầng 3 (Chốt phương pháp): " &amp; "Sử dụng nghiệm đã biết để giải tìm ẩn số a.", IF(NOT(ISBLANK(I102)), "💡 Gợi ý Tầng 2 (Manh mối cấu trúc &amp; Loại trừ): " &amp; "Tổng hai nghiệm x1 + x2 = -b / a.", "💡 Gợi ý Tầng 1 (Định hướng bối cảnh): " &amp; "Áp dụng định lý Viète về tổng các nghiệm của phương trình bậc hai ax^2 + bx + c = 0."))))</f>
        <v/>
      </c>
      <c r="Q102" s="5">
        <f>IF(OR(H102="✅ Đúng", J102="✅ Đúng", L102="✅ Đúng"), "Roots are w1 = -5 and w2 = a + 1/3 =&gt; -5 + a + 1/3 = 37/3 =&gt; a = 17.", "🔒 Trả lời đúng để mở khóa Strategic Tip!")</f>
        <v/>
      </c>
    </row>
    <row r="103" ht="15.75" customHeight="1" s="19"/>
    <row r="104" ht="15.75" customHeight="1" s="19"/>
    <row r="105" ht="15.75" customHeight="1" s="19"/>
    <row r="106" ht="15.75" customHeight="1" s="19"/>
    <row r="107" ht="15.75" customHeight="1" s="19"/>
    <row r="108" ht="15.75" customHeight="1" s="19"/>
    <row r="109" ht="15.75" customHeight="1" s="19"/>
    <row r="110" ht="15.75" customHeight="1" s="19"/>
    <row r="111" ht="15.75" customHeight="1" s="19"/>
    <row r="112" ht="15.75" customHeight="1" s="19"/>
    <row r="113" ht="15.75" customHeight="1" s="19"/>
    <row r="114" ht="15.75" customHeight="1" s="19"/>
    <row r="115" ht="15.75" customHeight="1" s="19"/>
    <row r="116" ht="15.75" customHeight="1" s="19"/>
    <row r="117" ht="15.75" customHeight="1" s="19"/>
    <row r="118" ht="15.75" customHeight="1" s="19"/>
    <row r="119" ht="15.75" customHeight="1" s="19"/>
    <row r="120" ht="15.75" customHeight="1" s="19"/>
    <row r="121" ht="15.75" customHeight="1" s="19"/>
    <row r="122" ht="15.75" customHeight="1" s="19"/>
    <row r="123" ht="15.75" customHeight="1" s="19"/>
    <row r="124" ht="15.75" customHeight="1" s="19"/>
    <row r="125" ht="15.75" customHeight="1" s="19"/>
    <row r="126" ht="15.75" customHeight="1" s="19"/>
    <row r="127" ht="15.75" customHeight="1" s="19"/>
    <row r="128" ht="15.75" customHeight="1" s="19"/>
    <row r="129" ht="15.75" customHeight="1" s="19"/>
    <row r="130" ht="15.75" customHeight="1" s="19"/>
    <row r="131" ht="15.75" customHeight="1" s="19"/>
    <row r="132" ht="15.75" customHeight="1" s="19"/>
    <row r="133" ht="15.75" customHeight="1" s="19"/>
    <row r="134" ht="15.75" customHeight="1" s="19"/>
    <row r="135" ht="15.75" customHeight="1" s="19"/>
    <row r="136" ht="15.75" customHeight="1" s="19"/>
    <row r="137" ht="15.75" customHeight="1" s="19"/>
    <row r="138" ht="15.75" customHeight="1" s="19"/>
    <row r="139" ht="15.75" customHeight="1" s="19"/>
    <row r="140" ht="15.75" customHeight="1" s="19"/>
    <row r="141" ht="15.75" customHeight="1" s="19"/>
    <row r="142" ht="15.75" customHeight="1" s="19"/>
    <row r="143" ht="15.75" customHeight="1" s="19"/>
    <row r="144" ht="15.75" customHeight="1" s="19"/>
    <row r="145" ht="15.75" customHeight="1" s="19"/>
    <row r="146" ht="15.75" customHeight="1" s="19"/>
    <row r="147" ht="15.75" customHeight="1" s="19"/>
    <row r="148" ht="15.75" customHeight="1" s="19"/>
    <row r="149" ht="15.75" customHeight="1" s="19"/>
    <row r="150" ht="15.75" customHeight="1" s="19"/>
    <row r="151" ht="15.75" customHeight="1" s="19"/>
    <row r="152" ht="15.75" customHeight="1" s="19"/>
    <row r="153" ht="15.75" customHeight="1" s="19"/>
    <row r="154" ht="15.75" customHeight="1" s="19"/>
    <row r="155" ht="15.75" customHeight="1" s="19"/>
    <row r="156" ht="15.75" customHeight="1" s="19"/>
    <row r="157" ht="15.75" customHeight="1" s="19"/>
    <row r="158" ht="15.75" customHeight="1" s="19"/>
    <row r="159" ht="15.75" customHeight="1" s="19"/>
    <row r="160" ht="15.75" customHeight="1" s="19"/>
    <row r="161" ht="15.75" customHeight="1" s="19"/>
    <row r="162" ht="15.75" customHeight="1" s="19"/>
    <row r="163" ht="15.75" customHeight="1" s="19"/>
    <row r="164" ht="15.75" customHeight="1" s="19"/>
    <row r="165" ht="15.75" customHeight="1" s="19"/>
    <row r="166" ht="15.75" customHeight="1" s="19"/>
    <row r="167" ht="15.75" customHeight="1" s="19"/>
    <row r="168" ht="15.75" customHeight="1" s="19"/>
    <row r="169" ht="15.75" customHeight="1" s="19"/>
    <row r="170" ht="15.75" customHeight="1" s="19"/>
    <row r="171" ht="15.75" customHeight="1" s="19"/>
    <row r="172" ht="15.75" customHeight="1" s="19"/>
    <row r="173" ht="15.75" customHeight="1" s="19"/>
    <row r="174" ht="15.75" customHeight="1" s="19"/>
    <row r="175" ht="15.75" customHeight="1" s="19"/>
    <row r="176" ht="15.75" customHeight="1" s="19"/>
    <row r="177" ht="15.75" customHeight="1" s="19"/>
    <row r="178" ht="15.75" customHeight="1" s="19"/>
    <row r="179" ht="15.75" customHeight="1" s="19"/>
    <row r="180" ht="15.75" customHeight="1" s="19"/>
    <row r="181" ht="15.75" customHeight="1" s="19"/>
    <row r="182" ht="15.75" customHeight="1" s="19"/>
    <row r="183" ht="15.75" customHeight="1" s="19"/>
    <row r="184" ht="15.75" customHeight="1" s="19"/>
    <row r="185" ht="15.75" customHeight="1" s="19"/>
    <row r="186" ht="15.75" customHeight="1" s="19"/>
    <row r="187" ht="15.75" customHeight="1" s="19"/>
    <row r="188" ht="15.75" customHeight="1" s="19"/>
    <row r="189" ht="15.75" customHeight="1" s="19"/>
    <row r="190" ht="15.75" customHeight="1" s="19"/>
    <row r="191" ht="15.75" customHeight="1" s="19"/>
    <row r="192" ht="15.75" customHeight="1" s="19"/>
    <row r="193" ht="15.75" customHeight="1" s="19"/>
    <row r="194" ht="15.75" customHeight="1" s="19"/>
    <row r="195" ht="15.75" customHeight="1" s="19"/>
    <row r="196" ht="15.75" customHeight="1" s="19"/>
    <row r="197" ht="15.75" customHeight="1" s="19"/>
    <row r="198" ht="15.75" customHeight="1" s="19"/>
    <row r="199" ht="15.75" customHeight="1" s="19"/>
    <row r="200" ht="15.75" customHeight="1" s="19"/>
    <row r="201" ht="15.75" customHeight="1" s="19"/>
    <row r="202" ht="15.75" customHeight="1" s="19"/>
    <row r="203" ht="15.75" customHeight="1" s="19"/>
    <row r="204" ht="15.75" customHeight="1" s="19"/>
    <row r="205" ht="15.75" customHeight="1" s="19"/>
    <row r="206" ht="15.75" customHeight="1" s="19"/>
    <row r="207" ht="15.75" customHeight="1" s="19"/>
    <row r="208" ht="15.75" customHeight="1" s="19"/>
    <row r="209" ht="15.75" customHeight="1" s="19"/>
    <row r="210" ht="15.75" customHeight="1" s="19"/>
    <row r="211" ht="15.75" customHeight="1" s="19"/>
    <row r="212" ht="15.75" customHeight="1" s="19"/>
    <row r="213" ht="15.75" customHeight="1" s="19"/>
    <row r="214" ht="15.75" customHeight="1" s="19"/>
    <row r="215" ht="15.75" customHeight="1" s="19"/>
    <row r="216" ht="15.75" customHeight="1" s="19"/>
    <row r="217" ht="15.75" customHeight="1" s="19"/>
    <row r="218" ht="15.75" customHeight="1" s="19"/>
    <row r="219" ht="15.75" customHeight="1" s="19"/>
    <row r="220" ht="15.75" customHeight="1" s="19"/>
    <row r="221" ht="15.75" customHeight="1" s="19"/>
    <row r="222" ht="15.75" customHeight="1" s="19"/>
    <row r="223" ht="15.75" customHeight="1" s="19"/>
    <row r="224" ht="15.75" customHeight="1" s="19"/>
    <row r="225" ht="15.75" customHeight="1" s="19"/>
    <row r="226" ht="15.75" customHeight="1" s="19"/>
    <row r="227" ht="15.75" customHeight="1" s="19"/>
    <row r="228" ht="15.75" customHeight="1" s="19"/>
    <row r="229" ht="15.75" customHeight="1" s="19"/>
    <row r="230" ht="15.75" customHeight="1" s="19"/>
    <row r="231" ht="15.75" customHeight="1" s="19"/>
    <row r="232" ht="15.75" customHeight="1" s="19"/>
    <row r="233" ht="15.75" customHeight="1" s="19"/>
    <row r="234" ht="15.75" customHeight="1" s="19"/>
    <row r="235" ht="15.75" customHeight="1" s="19"/>
    <row r="236" ht="15.75" customHeight="1" s="19"/>
    <row r="237" ht="15.75" customHeight="1" s="19"/>
    <row r="238" ht="15.75" customHeight="1" s="19"/>
    <row r="239" ht="15.75" customHeight="1" s="19"/>
    <row r="240" ht="15.75" customHeight="1" s="19"/>
    <row r="241" ht="15.75" customHeight="1" s="19"/>
    <row r="242" ht="15.75" customHeight="1" s="19"/>
    <row r="243" ht="15.75" customHeight="1" s="19"/>
    <row r="244" ht="15.75" customHeight="1" s="19"/>
    <row r="245" ht="15.75" customHeight="1" s="19"/>
    <row r="246" ht="15.75" customHeight="1" s="19"/>
    <row r="247" ht="15.75" customHeight="1" s="19"/>
    <row r="248" ht="15.75" customHeight="1" s="19"/>
    <row r="249" ht="15.75" customHeight="1" s="19"/>
    <row r="250" ht="15.75" customHeight="1" s="19"/>
    <row r="251" ht="15.75" customHeight="1" s="19"/>
    <row r="252" ht="15.75" customHeight="1" s="19"/>
    <row r="253" ht="15.75" customHeight="1" s="19"/>
    <row r="254" ht="15.75" customHeight="1" s="19"/>
    <row r="255" ht="15.75" customHeight="1" s="19"/>
    <row r="256" ht="15.75" customHeight="1" s="19"/>
    <row r="257" ht="15.75" customHeight="1" s="19"/>
    <row r="258" ht="15.75" customHeight="1" s="19"/>
    <row r="259" ht="15.75" customHeight="1" s="19"/>
    <row r="260" ht="15.75" customHeight="1" s="19"/>
    <row r="261" ht="15.75" customHeight="1" s="19"/>
    <row r="262" ht="15.75" customHeight="1" s="19"/>
    <row r="263" ht="15.75" customHeight="1" s="19"/>
    <row r="264" ht="15.75" customHeight="1" s="19"/>
    <row r="265" ht="15.75" customHeight="1" s="19"/>
    <row r="266" ht="15.75" customHeight="1" s="19"/>
    <row r="267" ht="15.75" customHeight="1" s="19"/>
    <row r="268" ht="15.75" customHeight="1" s="19"/>
    <row r="269" ht="15.75" customHeight="1" s="19"/>
    <row r="270" ht="15.75" customHeight="1" s="19"/>
    <row r="271" ht="15.75" customHeight="1" s="19"/>
    <row r="272" ht="15.75" customHeight="1" s="19"/>
    <row r="273" ht="15.75" customHeight="1" s="19"/>
    <row r="274" ht="15.75" customHeight="1" s="19"/>
    <row r="275" ht="15.75" customHeight="1" s="19"/>
    <row r="276" ht="15.75" customHeight="1" s="19"/>
    <row r="277" ht="15.75" customHeight="1" s="19"/>
    <row r="278" ht="15.75" customHeight="1" s="19"/>
    <row r="279" ht="15.75" customHeight="1" s="19"/>
    <row r="280" ht="15.75" customHeight="1" s="19"/>
    <row r="281" ht="15.75" customHeight="1" s="19"/>
    <row r="282" ht="15.75" customHeight="1" s="19"/>
    <row r="283" ht="15.75" customHeight="1" s="19"/>
    <row r="284" ht="15.75" customHeight="1" s="19"/>
    <row r="285" ht="15.75" customHeight="1" s="19"/>
    <row r="286" ht="15.75" customHeight="1" s="19"/>
    <row r="287" ht="15.75" customHeight="1" s="19"/>
    <row r="288" ht="15.75" customHeight="1" s="19"/>
    <row r="289" ht="15.75" customHeight="1" s="19"/>
    <row r="290" ht="15.75" customHeight="1" s="19"/>
    <row r="291" ht="15.75" customHeight="1" s="19"/>
    <row r="292" ht="15.75" customHeight="1" s="19"/>
    <row r="293" ht="15.75" customHeight="1" s="19"/>
    <row r="294" ht="15.75" customHeight="1" s="19"/>
    <row r="295" ht="15.75" customHeight="1" s="19"/>
    <row r="296" ht="15.75" customHeight="1" s="19"/>
    <row r="297" ht="15.75" customHeight="1" s="19"/>
    <row r="298" ht="15.75" customHeight="1" s="19"/>
    <row r="299" ht="15.75" customHeight="1" s="19"/>
    <row r="300" ht="15.75" customHeight="1" s="19"/>
    <row r="301" ht="15.75" customHeight="1" s="19"/>
    <row r="302" ht="15.75" customHeight="1" s="19"/>
    <row r="303" ht="15.75" customHeight="1" s="19"/>
    <row r="304" ht="15.75" customHeight="1" s="19"/>
    <row r="305" ht="15.75" customHeight="1" s="19"/>
    <row r="306" ht="15.75" customHeight="1" s="19"/>
    <row r="307" ht="15.75" customHeight="1" s="19"/>
    <row r="308" ht="15.75" customHeight="1" s="19"/>
    <row r="309" ht="15.75" customHeight="1" s="19"/>
    <row r="310" ht="15.75" customHeight="1" s="19"/>
    <row r="311" ht="15.75" customHeight="1" s="19"/>
    <row r="312" ht="15.75" customHeight="1" s="19"/>
    <row r="313" ht="15.75" customHeight="1" s="19"/>
    <row r="314" ht="15.75" customHeight="1" s="19"/>
    <row r="315" ht="15.75" customHeight="1" s="19"/>
    <row r="316" ht="15.75" customHeight="1" s="19"/>
    <row r="317" ht="15.75" customHeight="1" s="19"/>
    <row r="318" ht="15.75" customHeight="1" s="19"/>
    <row r="319" ht="15.75" customHeight="1" s="19"/>
    <row r="320" ht="15.75" customHeight="1" s="19"/>
    <row r="321" ht="15.75" customHeight="1" s="19"/>
    <row r="322" ht="15.75" customHeight="1" s="19"/>
    <row r="323" ht="15.75" customHeight="1" s="19"/>
    <row r="324" ht="15.75" customHeight="1" s="19"/>
    <row r="325" ht="15.75" customHeight="1" s="19"/>
    <row r="326" ht="15.75" customHeight="1" s="19"/>
    <row r="327" ht="15.75" customHeight="1" s="19"/>
    <row r="328" ht="15.75" customHeight="1" s="19"/>
    <row r="329" ht="15.75" customHeight="1" s="19"/>
    <row r="330" ht="15.75" customHeight="1" s="19"/>
    <row r="331" ht="15.75" customHeight="1" s="19"/>
    <row r="332" ht="15.75" customHeight="1" s="19"/>
    <row r="333" ht="15.75" customHeight="1" s="19"/>
    <row r="334" ht="15.75" customHeight="1" s="19"/>
    <row r="335" ht="15.75" customHeight="1" s="19"/>
    <row r="336" ht="15.75" customHeight="1" s="19"/>
    <row r="337" ht="15.75" customHeight="1" s="19"/>
    <row r="338" ht="15.75" customHeight="1" s="19"/>
    <row r="339" ht="15.75" customHeight="1" s="19"/>
    <row r="340" ht="15.75" customHeight="1" s="19"/>
    <row r="341" ht="15.75" customHeight="1" s="19"/>
    <row r="342" ht="15.75" customHeight="1" s="19"/>
    <row r="343" ht="15.75" customHeight="1" s="19"/>
    <row r="344" ht="15.75" customHeight="1" s="19"/>
    <row r="345" ht="15.75" customHeight="1" s="19"/>
    <row r="346" ht="15.75" customHeight="1" s="19"/>
    <row r="347" ht="15.75" customHeight="1" s="19"/>
    <row r="348" ht="15.75" customHeight="1" s="19"/>
    <row r="349" ht="15.75" customHeight="1" s="19"/>
    <row r="350" ht="15.75" customHeight="1" s="19"/>
    <row r="351" ht="15.75" customHeight="1" s="19"/>
    <row r="352" ht="15.75" customHeight="1" s="19"/>
    <row r="353" ht="15.75" customHeight="1" s="19"/>
    <row r="354" ht="15.75" customHeight="1" s="19"/>
    <row r="355" ht="15.75" customHeight="1" s="19"/>
    <row r="356" ht="15.75" customHeight="1" s="19"/>
    <row r="357" ht="15.75" customHeight="1" s="19"/>
    <row r="358" ht="15.75" customHeight="1" s="19"/>
    <row r="359" ht="15.75" customHeight="1" s="19"/>
    <row r="360" ht="15.75" customHeight="1" s="19"/>
    <row r="361" ht="15.75" customHeight="1" s="19"/>
    <row r="362" ht="15.75" customHeight="1" s="19"/>
    <row r="363" ht="15.75" customHeight="1" s="19"/>
    <row r="364" ht="15.75" customHeight="1" s="19"/>
    <row r="365" ht="15.75" customHeight="1" s="19"/>
    <row r="366" ht="15.75" customHeight="1" s="19"/>
    <row r="367" ht="15.75" customHeight="1" s="19"/>
    <row r="368" ht="15.75" customHeight="1" s="19"/>
    <row r="369" ht="15.75" customHeight="1" s="19"/>
    <row r="370" ht="15.75" customHeight="1" s="19"/>
    <row r="371" ht="15.75" customHeight="1" s="19"/>
    <row r="372" ht="15.75" customHeight="1" s="19"/>
    <row r="373" ht="15.75" customHeight="1" s="19"/>
    <row r="374" ht="15.75" customHeight="1" s="19"/>
    <row r="375" ht="15.75" customHeight="1" s="19"/>
    <row r="376" ht="15.75" customHeight="1" s="19"/>
    <row r="377" ht="15.75" customHeight="1" s="19"/>
    <row r="378" ht="15.75" customHeight="1" s="19"/>
    <row r="379" ht="15.75" customHeight="1" s="19"/>
    <row r="380" ht="15.75" customHeight="1" s="19"/>
    <row r="381" ht="15.75" customHeight="1" s="19"/>
    <row r="382" ht="15.75" customHeight="1" s="19"/>
    <row r="383" ht="15.75" customHeight="1" s="19"/>
    <row r="384" ht="15.75" customHeight="1" s="19"/>
    <row r="385" ht="15.75" customHeight="1" s="19"/>
    <row r="386" ht="15.75" customHeight="1" s="19"/>
    <row r="387" ht="15.75" customHeight="1" s="19"/>
    <row r="388" ht="15.75" customHeight="1" s="19"/>
    <row r="389" ht="15.75" customHeight="1" s="19"/>
    <row r="390" ht="15.75" customHeight="1" s="19"/>
    <row r="391" ht="15.75" customHeight="1" s="19"/>
    <row r="392" ht="15.75" customHeight="1" s="19"/>
    <row r="393" ht="15.75" customHeight="1" s="19"/>
    <row r="394" ht="15.75" customHeight="1" s="19"/>
    <row r="395" ht="15.75" customHeight="1" s="19"/>
    <row r="396" ht="15.75" customHeight="1" s="19"/>
    <row r="397" ht="15.75" customHeight="1" s="19"/>
    <row r="398" ht="15.75" customHeight="1" s="19"/>
    <row r="399" ht="15.75" customHeight="1" s="19"/>
    <row r="400" ht="15.75" customHeight="1" s="19"/>
    <row r="401" ht="15.75" customHeight="1" s="19"/>
    <row r="402" ht="15.75" customHeight="1" s="19"/>
    <row r="403" ht="15.75" customHeight="1" s="19"/>
    <row r="404" ht="15.75" customHeight="1" s="19"/>
    <row r="405" ht="15.75" customHeight="1" s="19"/>
    <row r="406" ht="15.75" customHeight="1" s="19"/>
    <row r="407" ht="15.75" customHeight="1" s="19"/>
    <row r="408" ht="15.75" customHeight="1" s="19"/>
    <row r="409" ht="15.75" customHeight="1" s="19"/>
    <row r="410" ht="15.75" customHeight="1" s="19"/>
    <row r="411" ht="15.75" customHeight="1" s="19"/>
    <row r="412" ht="15.75" customHeight="1" s="19"/>
    <row r="413" ht="15.75" customHeight="1" s="19"/>
    <row r="414" ht="15.75" customHeight="1" s="19"/>
    <row r="415" ht="15.75" customHeight="1" s="19"/>
    <row r="416" ht="15.75" customHeight="1" s="19"/>
    <row r="417" ht="15.75" customHeight="1" s="19"/>
    <row r="418" ht="15.75" customHeight="1" s="19"/>
    <row r="419" ht="15.75" customHeight="1" s="19"/>
    <row r="420" ht="15.75" customHeight="1" s="19"/>
    <row r="421" ht="15.75" customHeight="1" s="19"/>
    <row r="422" ht="15.75" customHeight="1" s="19"/>
    <row r="423" ht="15.75" customHeight="1" s="19"/>
    <row r="424" ht="15.75" customHeight="1" s="19"/>
    <row r="425" ht="15.75" customHeight="1" s="19"/>
    <row r="426" ht="15.75" customHeight="1" s="19"/>
    <row r="427" ht="15.75" customHeight="1" s="19"/>
    <row r="428" ht="15.75" customHeight="1" s="19"/>
    <row r="429" ht="15.75" customHeight="1" s="19"/>
    <row r="430" ht="15.75" customHeight="1" s="19"/>
    <row r="431" ht="15.75" customHeight="1" s="19"/>
    <row r="432" ht="15.75" customHeight="1" s="19"/>
    <row r="433" ht="15.75" customHeight="1" s="19"/>
    <row r="434" ht="15.75" customHeight="1" s="19"/>
    <row r="435" ht="15.75" customHeight="1" s="19"/>
    <row r="436" ht="15.75" customHeight="1" s="19"/>
    <row r="437" ht="15.75" customHeight="1" s="19"/>
    <row r="438" ht="15.75" customHeight="1" s="19"/>
    <row r="439" ht="15.75" customHeight="1" s="19"/>
    <row r="440" ht="15.75" customHeight="1" s="19"/>
    <row r="441" ht="15.75" customHeight="1" s="19"/>
    <row r="442" ht="15.75" customHeight="1" s="19"/>
    <row r="443" ht="15.75" customHeight="1" s="19"/>
    <row r="444" ht="15.75" customHeight="1" s="19"/>
    <row r="445" ht="15.75" customHeight="1" s="19"/>
    <row r="446" ht="15.75" customHeight="1" s="19"/>
    <row r="447" ht="15.75" customHeight="1" s="19"/>
    <row r="448" ht="15.75" customHeight="1" s="19"/>
    <row r="449" ht="15.75" customHeight="1" s="19"/>
    <row r="450" ht="15.75" customHeight="1" s="19"/>
    <row r="451" ht="15.75" customHeight="1" s="19"/>
    <row r="452" ht="15.75" customHeight="1" s="19"/>
    <row r="453" ht="15.75" customHeight="1" s="19"/>
    <row r="454" ht="15.75" customHeight="1" s="19"/>
    <row r="455" ht="15.75" customHeight="1" s="19"/>
    <row r="456" ht="15.75" customHeight="1" s="19"/>
    <row r="457" ht="15.75" customHeight="1" s="19"/>
    <row r="458" ht="15.75" customHeight="1" s="19"/>
    <row r="459" ht="15.75" customHeight="1" s="19"/>
    <row r="460" ht="15.75" customHeight="1" s="19"/>
    <row r="461" ht="15.75" customHeight="1" s="19"/>
    <row r="462" ht="15.75" customHeight="1" s="19"/>
    <row r="463" ht="15.75" customHeight="1" s="19"/>
    <row r="464" ht="15.75" customHeight="1" s="19"/>
    <row r="465" ht="15.75" customHeight="1" s="19"/>
    <row r="466" ht="15.75" customHeight="1" s="19"/>
    <row r="467" ht="15.75" customHeight="1" s="19"/>
    <row r="468" ht="15.75" customHeight="1" s="19"/>
    <row r="469" ht="15.75" customHeight="1" s="19"/>
    <row r="470" ht="15.75" customHeight="1" s="19"/>
    <row r="471" ht="15.75" customHeight="1" s="19"/>
    <row r="472" ht="15.75" customHeight="1" s="19"/>
    <row r="473" ht="15.75" customHeight="1" s="19"/>
    <row r="474" ht="15.75" customHeight="1" s="19"/>
    <row r="475" ht="15.75" customHeight="1" s="19"/>
    <row r="476" ht="15.75" customHeight="1" s="19"/>
    <row r="477" ht="15.75" customHeight="1" s="19"/>
    <row r="478" ht="15.75" customHeight="1" s="19"/>
    <row r="479" ht="15.75" customHeight="1" s="19"/>
    <row r="480" ht="15.75" customHeight="1" s="19"/>
    <row r="481" ht="15.75" customHeight="1" s="19"/>
    <row r="482" ht="15.75" customHeight="1" s="19"/>
    <row r="483" ht="15.75" customHeight="1" s="19"/>
    <row r="484" ht="15.75" customHeight="1" s="19"/>
    <row r="485" ht="15.75" customHeight="1" s="19"/>
    <row r="486" ht="15.75" customHeight="1" s="19"/>
    <row r="487" ht="15.75" customHeight="1" s="19"/>
    <row r="488" ht="15.75" customHeight="1" s="19"/>
    <row r="489" ht="15.75" customHeight="1" s="19"/>
    <row r="490" ht="15.75" customHeight="1" s="19"/>
    <row r="491" ht="15.75" customHeight="1" s="19"/>
    <row r="492" ht="15.75" customHeight="1" s="19"/>
    <row r="493" ht="15.75" customHeight="1" s="19"/>
    <row r="494" ht="15.75" customHeight="1" s="19"/>
    <row r="495" ht="15.75" customHeight="1" s="19"/>
    <row r="496" ht="15.75" customHeight="1" s="19"/>
    <row r="497" ht="15.75" customHeight="1" s="19"/>
    <row r="498" ht="15.75" customHeight="1" s="19"/>
    <row r="499" ht="15.75" customHeight="1" s="19"/>
    <row r="500" ht="15.75" customHeight="1" s="19"/>
    <row r="501" ht="15.75" customHeight="1" s="19"/>
    <row r="502" ht="15.75" customHeight="1" s="19"/>
    <row r="503" ht="15.75" customHeight="1" s="19"/>
    <row r="504" ht="15.75" customHeight="1" s="19"/>
    <row r="505" ht="15.75" customHeight="1" s="19"/>
    <row r="506" ht="15.75" customHeight="1" s="19"/>
    <row r="507" ht="15.75" customHeight="1" s="19"/>
    <row r="508" ht="15.75" customHeight="1" s="19"/>
    <row r="509" ht="15.75" customHeight="1" s="19"/>
    <row r="510" ht="15.75" customHeight="1" s="19"/>
    <row r="511" ht="15.75" customHeight="1" s="19"/>
    <row r="512" ht="15.75" customHeight="1" s="19"/>
    <row r="513" ht="15.75" customHeight="1" s="19"/>
    <row r="514" ht="15.75" customHeight="1" s="19"/>
    <row r="515" ht="15.75" customHeight="1" s="19"/>
    <row r="516" ht="15.75" customHeight="1" s="19"/>
    <row r="517" ht="15.75" customHeight="1" s="19"/>
    <row r="518" ht="15.75" customHeight="1" s="19"/>
    <row r="519" ht="15.75" customHeight="1" s="19"/>
    <row r="520" ht="15.75" customHeight="1" s="19"/>
    <row r="521" ht="15.75" customHeight="1" s="19"/>
    <row r="522" ht="15.75" customHeight="1" s="19"/>
    <row r="523" ht="15.75" customHeight="1" s="19"/>
    <row r="524" ht="15.75" customHeight="1" s="19"/>
    <row r="525" ht="15.75" customHeight="1" s="19"/>
    <row r="526" ht="15.75" customHeight="1" s="19"/>
    <row r="527" ht="15.75" customHeight="1" s="19"/>
    <row r="528" ht="15.75" customHeight="1" s="19"/>
    <row r="529" ht="15.75" customHeight="1" s="19"/>
    <row r="530" ht="15.75" customHeight="1" s="19"/>
    <row r="531" ht="15.75" customHeight="1" s="19"/>
    <row r="532" ht="15.75" customHeight="1" s="19"/>
    <row r="533" ht="15.75" customHeight="1" s="19"/>
    <row r="534" ht="15.75" customHeight="1" s="19"/>
    <row r="535" ht="15.75" customHeight="1" s="19"/>
    <row r="536" ht="15.75" customHeight="1" s="19"/>
    <row r="537" ht="15.75" customHeight="1" s="19"/>
    <row r="538" ht="15.75" customHeight="1" s="19"/>
    <row r="539" ht="15.75" customHeight="1" s="19"/>
    <row r="540" ht="15.75" customHeight="1" s="19"/>
    <row r="541" ht="15.75" customHeight="1" s="19"/>
    <row r="542" ht="15.75" customHeight="1" s="19"/>
    <row r="543" ht="15.75" customHeight="1" s="19"/>
    <row r="544" ht="15.75" customHeight="1" s="19"/>
    <row r="545" ht="15.75" customHeight="1" s="19"/>
    <row r="546" ht="15.75" customHeight="1" s="19"/>
    <row r="547" ht="15.75" customHeight="1" s="19"/>
    <row r="548" ht="15.75" customHeight="1" s="19"/>
    <row r="549" ht="15.75" customHeight="1" s="19"/>
    <row r="550" ht="15.75" customHeight="1" s="19"/>
    <row r="551" ht="15.75" customHeight="1" s="19"/>
    <row r="552" ht="15.75" customHeight="1" s="19"/>
    <row r="553" ht="15.75" customHeight="1" s="19"/>
    <row r="554" ht="15.75" customHeight="1" s="19"/>
    <row r="555" ht="15.75" customHeight="1" s="19"/>
    <row r="556" ht="15.75" customHeight="1" s="19"/>
    <row r="557" ht="15.75" customHeight="1" s="19"/>
    <row r="558" ht="15.75" customHeight="1" s="19"/>
    <row r="559" ht="15.75" customHeight="1" s="19"/>
    <row r="560" ht="15.75" customHeight="1" s="19"/>
    <row r="561" ht="15.75" customHeight="1" s="19"/>
    <row r="562" ht="15.75" customHeight="1" s="19"/>
    <row r="563" ht="15.75" customHeight="1" s="19"/>
    <row r="564" ht="15.75" customHeight="1" s="19"/>
    <row r="565" ht="15.75" customHeight="1" s="19"/>
    <row r="566" ht="15.75" customHeight="1" s="19"/>
    <row r="567" ht="15.75" customHeight="1" s="19"/>
    <row r="568" ht="15.75" customHeight="1" s="19"/>
    <row r="569" ht="15.75" customHeight="1" s="19"/>
    <row r="570" ht="15.75" customHeight="1" s="19"/>
    <row r="571" ht="15.75" customHeight="1" s="19"/>
    <row r="572" ht="15.75" customHeight="1" s="19"/>
    <row r="573" ht="15.75" customHeight="1" s="19"/>
    <row r="574" ht="15.75" customHeight="1" s="19"/>
    <row r="575" ht="15.75" customHeight="1" s="19"/>
    <row r="576" ht="15.75" customHeight="1" s="19"/>
    <row r="577" ht="15.75" customHeight="1" s="19"/>
    <row r="578" ht="15.75" customHeight="1" s="19"/>
    <row r="579" ht="15.75" customHeight="1" s="19"/>
    <row r="580" ht="15.75" customHeight="1" s="19"/>
    <row r="581" ht="15.75" customHeight="1" s="19"/>
    <row r="582" ht="15.75" customHeight="1" s="19"/>
    <row r="583" ht="15.75" customHeight="1" s="19"/>
    <row r="584" ht="15.75" customHeight="1" s="19"/>
    <row r="585" ht="15.75" customHeight="1" s="19"/>
    <row r="586" ht="15.75" customHeight="1" s="19"/>
    <row r="587" ht="15.75" customHeight="1" s="19"/>
    <row r="588" ht="15.75" customHeight="1" s="19"/>
    <row r="589" ht="15.75" customHeight="1" s="19"/>
    <row r="590" ht="15.75" customHeight="1" s="19"/>
    <row r="591" ht="15.75" customHeight="1" s="19"/>
    <row r="592" ht="15.75" customHeight="1" s="19"/>
    <row r="593" ht="15.75" customHeight="1" s="19"/>
    <row r="594" ht="15.75" customHeight="1" s="19"/>
    <row r="595" ht="15.75" customHeight="1" s="19"/>
    <row r="596" ht="15.75" customHeight="1" s="19"/>
    <row r="597" ht="15.75" customHeight="1" s="19"/>
    <row r="598" ht="15.75" customHeight="1" s="19"/>
    <row r="599" ht="15.75" customHeight="1" s="19"/>
    <row r="600" ht="15.75" customHeight="1" s="19"/>
    <row r="601" ht="15.75" customHeight="1" s="19"/>
    <row r="602" ht="15.75" customHeight="1" s="19"/>
    <row r="603" ht="15.75" customHeight="1" s="19"/>
    <row r="604" ht="15.75" customHeight="1" s="19"/>
    <row r="605" ht="15.75" customHeight="1" s="19"/>
    <row r="606" ht="15.75" customHeight="1" s="19"/>
    <row r="607" ht="15.75" customHeight="1" s="19"/>
    <row r="608" ht="15.75" customHeight="1" s="19"/>
    <row r="609" ht="15.75" customHeight="1" s="19"/>
    <row r="610" ht="15.75" customHeight="1" s="19"/>
    <row r="611" ht="15.75" customHeight="1" s="19"/>
    <row r="612" ht="15.75" customHeight="1" s="19"/>
    <row r="613" ht="15.75" customHeight="1" s="19"/>
    <row r="614" ht="15.75" customHeight="1" s="19"/>
    <row r="615" ht="15.75" customHeight="1" s="19"/>
    <row r="616" ht="15.75" customHeight="1" s="19"/>
    <row r="617" ht="15.75" customHeight="1" s="19"/>
    <row r="618" ht="15.75" customHeight="1" s="19"/>
    <row r="619" ht="15.75" customHeight="1" s="19"/>
    <row r="620" ht="15.75" customHeight="1" s="19"/>
    <row r="621" ht="15.75" customHeight="1" s="19"/>
    <row r="622" ht="15.75" customHeight="1" s="19"/>
    <row r="623" ht="15.75" customHeight="1" s="19"/>
    <row r="624" ht="15.75" customHeight="1" s="19"/>
    <row r="625" ht="15.75" customHeight="1" s="19"/>
    <row r="626" ht="15.75" customHeight="1" s="19"/>
    <row r="627" ht="15.75" customHeight="1" s="19"/>
    <row r="628" ht="15.75" customHeight="1" s="19"/>
    <row r="629" ht="15.75" customHeight="1" s="19"/>
    <row r="630" ht="15.75" customHeight="1" s="19"/>
    <row r="631" ht="15.75" customHeight="1" s="19"/>
    <row r="632" ht="15.75" customHeight="1" s="19"/>
    <row r="633" ht="15.75" customHeight="1" s="19"/>
    <row r="634" ht="15.75" customHeight="1" s="19"/>
    <row r="635" ht="15.75" customHeight="1" s="19"/>
    <row r="636" ht="15.75" customHeight="1" s="19"/>
    <row r="637" ht="15.75" customHeight="1" s="19"/>
    <row r="638" ht="15.75" customHeight="1" s="19"/>
    <row r="639" ht="15.75" customHeight="1" s="19"/>
    <row r="640" ht="15.75" customHeight="1" s="19"/>
    <row r="641" ht="15.75" customHeight="1" s="19"/>
    <row r="642" ht="15.75" customHeight="1" s="19"/>
    <row r="643" ht="15.75" customHeight="1" s="19"/>
    <row r="644" ht="15.75" customHeight="1" s="19"/>
    <row r="645" ht="15.75" customHeight="1" s="19"/>
    <row r="646" ht="15.75" customHeight="1" s="19"/>
    <row r="647" ht="15.75" customHeight="1" s="19"/>
    <row r="648" ht="15.75" customHeight="1" s="19"/>
    <row r="649" ht="15.75" customHeight="1" s="19"/>
    <row r="650" ht="15.75" customHeight="1" s="19"/>
    <row r="651" ht="15.75" customHeight="1" s="19"/>
    <row r="652" ht="15.75" customHeight="1" s="19"/>
    <row r="653" ht="15.75" customHeight="1" s="19"/>
    <row r="654" ht="15.75" customHeight="1" s="19"/>
    <row r="655" ht="15.75" customHeight="1" s="19"/>
    <row r="656" ht="15.75" customHeight="1" s="19"/>
    <row r="657" ht="15.75" customHeight="1" s="19"/>
    <row r="658" ht="15.75" customHeight="1" s="19"/>
    <row r="659" ht="15.75" customHeight="1" s="19"/>
    <row r="660" ht="15.75" customHeight="1" s="19"/>
    <row r="661" ht="15.75" customHeight="1" s="19"/>
    <row r="662" ht="15.75" customHeight="1" s="19"/>
    <row r="663" ht="15.75" customHeight="1" s="19"/>
    <row r="664" ht="15.75" customHeight="1" s="19"/>
    <row r="665" ht="15.75" customHeight="1" s="19"/>
    <row r="666" ht="15.75" customHeight="1" s="19"/>
    <row r="667" ht="15.75" customHeight="1" s="19"/>
    <row r="668" ht="15.75" customHeight="1" s="19"/>
    <row r="669" ht="15.75" customHeight="1" s="19"/>
    <row r="670" ht="15.75" customHeight="1" s="19"/>
    <row r="671" ht="15.75" customHeight="1" s="19"/>
    <row r="672" ht="15.75" customHeight="1" s="19"/>
    <row r="673" ht="15.75" customHeight="1" s="19"/>
    <row r="674" ht="15.75" customHeight="1" s="19"/>
    <row r="675" ht="15.75" customHeight="1" s="19"/>
    <row r="676" ht="15.75" customHeight="1" s="19"/>
    <row r="677" ht="15.75" customHeight="1" s="19"/>
    <row r="678" ht="15.75" customHeight="1" s="19"/>
    <row r="679" ht="15.75" customHeight="1" s="19"/>
    <row r="680" ht="15.75" customHeight="1" s="19"/>
    <row r="681" ht="15.75" customHeight="1" s="19"/>
    <row r="682" ht="15.75" customHeight="1" s="19"/>
    <row r="683" ht="15.75" customHeight="1" s="19"/>
    <row r="684" ht="15.75" customHeight="1" s="19"/>
    <row r="685" ht="15.75" customHeight="1" s="19"/>
    <row r="686" ht="15.75" customHeight="1" s="19"/>
    <row r="687" ht="15.75" customHeight="1" s="19"/>
    <row r="688" ht="15.75" customHeight="1" s="19"/>
    <row r="689" ht="15.75" customHeight="1" s="19"/>
    <row r="690" ht="15.75" customHeight="1" s="19"/>
    <row r="691" ht="15.75" customHeight="1" s="19"/>
    <row r="692" ht="15.75" customHeight="1" s="19"/>
    <row r="693" ht="15.75" customHeight="1" s="19"/>
    <row r="694" ht="15.75" customHeight="1" s="19"/>
    <row r="695" ht="15.75" customHeight="1" s="19"/>
    <row r="696" ht="15.75" customHeight="1" s="19"/>
    <row r="697" ht="15.75" customHeight="1" s="19"/>
    <row r="698" ht="15.75" customHeight="1" s="19"/>
    <row r="699" ht="15.75" customHeight="1" s="19"/>
    <row r="700" ht="15.75" customHeight="1" s="19"/>
    <row r="701" ht="15.75" customHeight="1" s="19"/>
    <row r="702" ht="15.75" customHeight="1" s="19"/>
    <row r="703" ht="15.75" customHeight="1" s="19"/>
    <row r="704" ht="15.75" customHeight="1" s="19"/>
    <row r="705" ht="15.75" customHeight="1" s="19"/>
    <row r="706" ht="15.75" customHeight="1" s="19"/>
    <row r="707" ht="15.75" customHeight="1" s="19"/>
    <row r="708" ht="15.75" customHeight="1" s="19"/>
    <row r="709" ht="15.75" customHeight="1" s="19"/>
    <row r="710" ht="15.75" customHeight="1" s="19"/>
    <row r="711" ht="15.75" customHeight="1" s="19"/>
    <row r="712" ht="15.75" customHeight="1" s="19"/>
    <row r="713" ht="15.75" customHeight="1" s="19"/>
    <row r="714" ht="15.75" customHeight="1" s="19"/>
    <row r="715" ht="15.75" customHeight="1" s="19"/>
    <row r="716" ht="15.75" customHeight="1" s="19"/>
    <row r="717" ht="15.75" customHeight="1" s="19"/>
    <row r="718" ht="15.75" customHeight="1" s="19"/>
    <row r="719" ht="15.75" customHeight="1" s="19"/>
    <row r="720" ht="15.75" customHeight="1" s="19"/>
    <row r="721" ht="15.75" customHeight="1" s="19"/>
    <row r="722" ht="15.75" customHeight="1" s="19"/>
    <row r="723" ht="15.75" customHeight="1" s="19"/>
    <row r="724" ht="15.75" customHeight="1" s="19"/>
    <row r="725" ht="15.75" customHeight="1" s="19"/>
    <row r="726" ht="15.75" customHeight="1" s="19"/>
    <row r="727" ht="15.75" customHeight="1" s="19"/>
    <row r="728" ht="15.75" customHeight="1" s="19"/>
    <row r="729" ht="15.75" customHeight="1" s="19"/>
    <row r="730" ht="15.75" customHeight="1" s="19"/>
    <row r="731" ht="15.75" customHeight="1" s="19"/>
    <row r="732" ht="15.75" customHeight="1" s="19"/>
    <row r="733" ht="15.75" customHeight="1" s="19"/>
    <row r="734" ht="15.75" customHeight="1" s="19"/>
    <row r="735" ht="15.75" customHeight="1" s="19"/>
    <row r="736" ht="15.75" customHeight="1" s="19"/>
    <row r="737" ht="15.75" customHeight="1" s="19"/>
    <row r="738" ht="15.75" customHeight="1" s="19"/>
    <row r="739" ht="15.75" customHeight="1" s="19"/>
    <row r="740" ht="15.75" customHeight="1" s="19"/>
    <row r="741" ht="15.75" customHeight="1" s="19"/>
    <row r="742" ht="15.75" customHeight="1" s="19"/>
    <row r="743" ht="15.75" customHeight="1" s="19"/>
    <row r="744" ht="15.75" customHeight="1" s="19"/>
    <row r="745" ht="15.75" customHeight="1" s="19"/>
    <row r="746" ht="15.75" customHeight="1" s="19"/>
    <row r="747" ht="15.75" customHeight="1" s="19"/>
    <row r="748" ht="15.75" customHeight="1" s="19"/>
    <row r="749" ht="15.75" customHeight="1" s="19"/>
    <row r="750" ht="15.75" customHeight="1" s="19"/>
    <row r="751" ht="15.75" customHeight="1" s="19"/>
    <row r="752" ht="15.75" customHeight="1" s="19"/>
    <row r="753" ht="15.75" customHeight="1" s="19"/>
    <row r="754" ht="15.75" customHeight="1" s="19"/>
    <row r="755" ht="15.75" customHeight="1" s="19"/>
    <row r="756" ht="15.75" customHeight="1" s="19"/>
    <row r="757" ht="15.75" customHeight="1" s="19"/>
    <row r="758" ht="15.75" customHeight="1" s="19"/>
    <row r="759" ht="15.75" customHeight="1" s="19"/>
    <row r="760" ht="15.75" customHeight="1" s="19"/>
    <row r="761" ht="15.75" customHeight="1" s="19"/>
    <row r="762" ht="15.75" customHeight="1" s="19"/>
    <row r="763" ht="15.75" customHeight="1" s="19"/>
    <row r="764" ht="15.75" customHeight="1" s="19"/>
    <row r="765" ht="15.75" customHeight="1" s="19"/>
    <row r="766" ht="15.75" customHeight="1" s="19"/>
    <row r="767" ht="15.75" customHeight="1" s="19"/>
    <row r="768" ht="15.75" customHeight="1" s="19"/>
    <row r="769" ht="15.75" customHeight="1" s="19"/>
    <row r="770" ht="15.75" customHeight="1" s="19"/>
    <row r="771" ht="15.75" customHeight="1" s="19"/>
    <row r="772" ht="15.75" customHeight="1" s="19"/>
    <row r="773" ht="15.75" customHeight="1" s="19"/>
    <row r="774" ht="15.75" customHeight="1" s="19"/>
    <row r="775" ht="15.75" customHeight="1" s="19"/>
    <row r="776" ht="15.75" customHeight="1" s="19"/>
    <row r="777" ht="15.75" customHeight="1" s="19"/>
    <row r="778" ht="15.75" customHeight="1" s="19"/>
    <row r="779" ht="15.75" customHeight="1" s="19"/>
    <row r="780" ht="15.75" customHeight="1" s="19"/>
    <row r="781" ht="15.75" customHeight="1" s="19"/>
    <row r="782" ht="15.75" customHeight="1" s="19"/>
    <row r="783" ht="15.75" customHeight="1" s="19"/>
    <row r="784" ht="15.75" customHeight="1" s="19"/>
    <row r="785" ht="15.75" customHeight="1" s="19"/>
    <row r="786" ht="15.75" customHeight="1" s="19"/>
    <row r="787" ht="15.75" customHeight="1" s="19"/>
    <row r="788" ht="15.75" customHeight="1" s="19"/>
    <row r="789" ht="15.75" customHeight="1" s="19"/>
    <row r="790" ht="15.75" customHeight="1" s="19"/>
    <row r="791" ht="15.75" customHeight="1" s="19"/>
    <row r="792" ht="15.75" customHeight="1" s="19"/>
    <row r="793" ht="15.75" customHeight="1" s="19"/>
    <row r="794" ht="15.75" customHeight="1" s="19"/>
    <row r="795" ht="15.75" customHeight="1" s="19"/>
    <row r="796" ht="15.75" customHeight="1" s="19"/>
    <row r="797" ht="15.75" customHeight="1" s="19"/>
    <row r="798" ht="15.75" customHeight="1" s="19"/>
    <row r="799" ht="15.75" customHeight="1" s="19"/>
    <row r="800" ht="15.75" customHeight="1" s="19"/>
    <row r="801" ht="15.75" customHeight="1" s="19"/>
    <row r="802" ht="15.75" customHeight="1" s="19"/>
    <row r="803" ht="15.75" customHeight="1" s="19"/>
    <row r="804" ht="15.75" customHeight="1" s="19"/>
    <row r="805" ht="15.75" customHeight="1" s="19"/>
    <row r="806" ht="15.75" customHeight="1" s="19"/>
    <row r="807" ht="15.75" customHeight="1" s="19"/>
    <row r="808" ht="15.75" customHeight="1" s="19"/>
    <row r="809" ht="15.75" customHeight="1" s="19"/>
    <row r="810" ht="15.75" customHeight="1" s="19"/>
    <row r="811" ht="15.75" customHeight="1" s="19"/>
    <row r="812" ht="15.75" customHeight="1" s="19"/>
    <row r="813" ht="15.75" customHeight="1" s="19"/>
    <row r="814" ht="15.75" customHeight="1" s="19"/>
    <row r="815" ht="15.75" customHeight="1" s="19"/>
    <row r="816" ht="15.75" customHeight="1" s="19"/>
    <row r="817" ht="15.75" customHeight="1" s="19"/>
    <row r="818" ht="15.75" customHeight="1" s="19"/>
    <row r="819" ht="15.75" customHeight="1" s="19"/>
    <row r="820" ht="15.75" customHeight="1" s="19"/>
    <row r="821" ht="15.75" customHeight="1" s="19"/>
    <row r="822" ht="15.75" customHeight="1" s="19"/>
    <row r="823" ht="15.75" customHeight="1" s="19"/>
    <row r="824" ht="15.75" customHeight="1" s="19"/>
    <row r="825" ht="15.75" customHeight="1" s="19"/>
    <row r="826" ht="15.75" customHeight="1" s="19"/>
    <row r="827" ht="15.75" customHeight="1" s="19"/>
    <row r="828" ht="15.75" customHeight="1" s="19"/>
    <row r="829" ht="15.75" customHeight="1" s="19"/>
    <row r="830" ht="15.75" customHeight="1" s="19"/>
    <row r="831" ht="15.75" customHeight="1" s="19"/>
    <row r="832" ht="15.75" customHeight="1" s="19"/>
    <row r="833" ht="15.75" customHeight="1" s="19"/>
    <row r="834" ht="15.75" customHeight="1" s="19"/>
    <row r="835" ht="15.75" customHeight="1" s="19"/>
    <row r="836" ht="15.75" customHeight="1" s="19"/>
    <row r="837" ht="15.75" customHeight="1" s="19"/>
    <row r="838" ht="15.75" customHeight="1" s="19"/>
    <row r="839" ht="15.75" customHeight="1" s="19"/>
    <row r="840" ht="15.75" customHeight="1" s="19"/>
    <row r="841" ht="15.75" customHeight="1" s="19"/>
    <row r="842" ht="15.75" customHeight="1" s="19"/>
    <row r="843" ht="15.75" customHeight="1" s="19"/>
    <row r="844" ht="15.75" customHeight="1" s="19"/>
    <row r="845" ht="15.75" customHeight="1" s="19"/>
    <row r="846" ht="15.75" customHeight="1" s="19"/>
    <row r="847" ht="15.75" customHeight="1" s="19"/>
    <row r="848" ht="15.75" customHeight="1" s="19"/>
    <row r="849" ht="15.75" customHeight="1" s="19"/>
    <row r="850" ht="15.75" customHeight="1" s="19"/>
    <row r="851" ht="15.75" customHeight="1" s="19"/>
    <row r="852" ht="15.75" customHeight="1" s="19"/>
    <row r="853" ht="15.75" customHeight="1" s="19"/>
    <row r="854" ht="15.75" customHeight="1" s="19"/>
    <row r="855" ht="15.75" customHeight="1" s="19"/>
    <row r="856" ht="15.75" customHeight="1" s="19"/>
    <row r="857" ht="15.75" customHeight="1" s="19"/>
    <row r="858" ht="15.75" customHeight="1" s="19"/>
    <row r="859" ht="15.75" customHeight="1" s="19"/>
    <row r="860" ht="15.75" customHeight="1" s="19"/>
    <row r="861" ht="15.75" customHeight="1" s="19"/>
    <row r="862" ht="15.75" customHeight="1" s="19"/>
    <row r="863" ht="15.75" customHeight="1" s="19"/>
    <row r="864" ht="15.75" customHeight="1" s="19"/>
    <row r="865" ht="15.75" customHeight="1" s="19"/>
    <row r="866" ht="15.75" customHeight="1" s="19"/>
    <row r="867" ht="15.75" customHeight="1" s="19"/>
    <row r="868" ht="15.75" customHeight="1" s="19"/>
    <row r="869" ht="15.75" customHeight="1" s="19"/>
    <row r="870" ht="15.75" customHeight="1" s="19"/>
    <row r="871" ht="15.75" customHeight="1" s="19"/>
    <row r="872" ht="15.75" customHeight="1" s="19"/>
    <row r="873" ht="15.75" customHeight="1" s="19"/>
    <row r="874" ht="15.75" customHeight="1" s="19"/>
    <row r="875" ht="15.75" customHeight="1" s="19"/>
    <row r="876" ht="15.75" customHeight="1" s="19"/>
    <row r="877" ht="15.75" customHeight="1" s="19"/>
    <row r="878" ht="15.75" customHeight="1" s="19"/>
    <row r="879" ht="15.75" customHeight="1" s="19"/>
    <row r="880" ht="15.75" customHeight="1" s="19"/>
    <row r="881" ht="15.75" customHeight="1" s="19"/>
    <row r="882" ht="15.75" customHeight="1" s="19"/>
    <row r="883" ht="15.75" customHeight="1" s="19"/>
    <row r="884" ht="15.75" customHeight="1" s="19"/>
    <row r="885" ht="15.75" customHeight="1" s="19"/>
    <row r="886" ht="15.75" customHeight="1" s="19"/>
    <row r="887" ht="15.75" customHeight="1" s="19"/>
    <row r="888" ht="15.75" customHeight="1" s="19"/>
    <row r="889" ht="15.75" customHeight="1" s="19"/>
    <row r="890" ht="15.75" customHeight="1" s="19"/>
    <row r="891" ht="15.75" customHeight="1" s="19"/>
    <row r="892" ht="15.75" customHeight="1" s="19"/>
    <row r="893" ht="15.75" customHeight="1" s="19"/>
    <row r="894" ht="15.75" customHeight="1" s="19"/>
    <row r="895" ht="15.75" customHeight="1" s="19"/>
    <row r="896" ht="15.75" customHeight="1" s="19"/>
    <row r="897" ht="15.75" customHeight="1" s="19"/>
    <row r="898" ht="15.75" customHeight="1" s="19"/>
    <row r="899" ht="15.75" customHeight="1" s="19"/>
    <row r="900" ht="15.75" customHeight="1" s="19"/>
    <row r="901" ht="15.75" customHeight="1" s="19"/>
    <row r="902" ht="15.75" customHeight="1" s="19"/>
    <row r="903" ht="15.75" customHeight="1" s="19"/>
    <row r="904" ht="15.75" customHeight="1" s="19"/>
    <row r="905" ht="15.75" customHeight="1" s="19"/>
    <row r="906" ht="15.75" customHeight="1" s="19"/>
    <row r="907" ht="15.75" customHeight="1" s="19"/>
    <row r="908" ht="15.75" customHeight="1" s="19"/>
    <row r="909" ht="15.75" customHeight="1" s="19"/>
    <row r="910" ht="15.75" customHeight="1" s="19"/>
    <row r="911" ht="15.75" customHeight="1" s="19"/>
    <row r="912" ht="15.75" customHeight="1" s="19"/>
    <row r="913" ht="15.75" customHeight="1" s="19"/>
    <row r="914" ht="15.75" customHeight="1" s="19"/>
    <row r="915" ht="15.75" customHeight="1" s="19"/>
    <row r="916" ht="15.75" customHeight="1" s="19"/>
    <row r="917" ht="15.75" customHeight="1" s="19"/>
    <row r="918" ht="15.75" customHeight="1" s="19"/>
    <row r="919" ht="15.75" customHeight="1" s="19"/>
    <row r="920" ht="15.75" customHeight="1" s="19"/>
    <row r="921" ht="15.75" customHeight="1" s="19"/>
    <row r="922" ht="15.75" customHeight="1" s="19"/>
    <row r="923" ht="15.75" customHeight="1" s="19"/>
    <row r="924" ht="15.75" customHeight="1" s="19"/>
    <row r="925" ht="15.75" customHeight="1" s="19"/>
    <row r="926" ht="15.75" customHeight="1" s="19"/>
    <row r="927" ht="15.75" customHeight="1" s="19"/>
    <row r="928" ht="15.75" customHeight="1" s="19"/>
    <row r="929" ht="15.75" customHeight="1" s="19"/>
    <row r="930" ht="15.75" customHeight="1" s="19"/>
    <row r="931" ht="15.75" customHeight="1" s="19"/>
    <row r="932" ht="15.75" customHeight="1" s="19"/>
    <row r="933" ht="15.75" customHeight="1" s="19"/>
    <row r="934" ht="15.75" customHeight="1" s="19"/>
    <row r="935" ht="15.75" customHeight="1" s="19"/>
    <row r="936" ht="15.75" customHeight="1" s="19"/>
    <row r="937" ht="15.75" customHeight="1" s="19"/>
    <row r="938" ht="15.75" customHeight="1" s="19"/>
    <row r="939" ht="15.75" customHeight="1" s="19"/>
    <row r="940" ht="15.75" customHeight="1" s="19"/>
    <row r="941" ht="15.75" customHeight="1" s="19"/>
    <row r="942" ht="15.75" customHeight="1" s="19"/>
    <row r="943" ht="15.75" customHeight="1" s="19"/>
    <row r="944" ht="15.75" customHeight="1" s="19"/>
    <row r="945" ht="15.75" customHeight="1" s="19"/>
    <row r="946" ht="15.75" customHeight="1" s="19"/>
    <row r="947" ht="15.75" customHeight="1" s="19"/>
    <row r="948" ht="15.75" customHeight="1" s="19"/>
    <row r="949" ht="15.75" customHeight="1" s="19"/>
    <row r="950" ht="15.75" customHeight="1" s="19"/>
    <row r="951" ht="15.75" customHeight="1" s="19"/>
    <row r="952" ht="15.75" customHeight="1" s="19"/>
    <row r="953" ht="15.75" customHeight="1" s="19"/>
    <row r="954" ht="15.75" customHeight="1" s="19"/>
    <row r="955" ht="15.75" customHeight="1" s="19"/>
    <row r="956" ht="15.75" customHeight="1" s="19"/>
    <row r="957" ht="15.75" customHeight="1" s="19"/>
    <row r="958" ht="15.75" customHeight="1" s="19"/>
    <row r="959" ht="15.75" customHeight="1" s="19"/>
    <row r="960" ht="15.75" customHeight="1" s="19"/>
    <row r="961" ht="15.75" customHeight="1" s="19"/>
    <row r="962" ht="15.75" customHeight="1" s="19"/>
    <row r="963" ht="15.75" customHeight="1" s="19"/>
    <row r="964" ht="15.75" customHeight="1" s="19"/>
    <row r="965" ht="15.75" customHeight="1" s="19"/>
    <row r="966" ht="15.75" customHeight="1" s="19"/>
    <row r="967" ht="15.75" customHeight="1" s="19"/>
    <row r="968" ht="15.75" customHeight="1" s="19"/>
    <row r="969" ht="15.75" customHeight="1" s="19"/>
    <row r="970" ht="15.75" customHeight="1" s="19"/>
    <row r="971" ht="15.75" customHeight="1" s="19"/>
    <row r="972" ht="15.75" customHeight="1" s="19"/>
    <row r="973" ht="15.75" customHeight="1" s="19"/>
    <row r="974" ht="15.75" customHeight="1" s="19"/>
    <row r="975" ht="15.75" customHeight="1" s="19"/>
    <row r="976" ht="15.75" customHeight="1" s="19"/>
    <row r="977" ht="15.75" customHeight="1" s="19"/>
    <row r="978" ht="15.75" customHeight="1" s="19"/>
    <row r="979" ht="15.75" customHeight="1" s="19"/>
    <row r="980" ht="15.75" customHeight="1" s="19"/>
    <row r="981" ht="15.75" customHeight="1" s="19"/>
    <row r="982" ht="15.75" customHeight="1" s="19"/>
    <row r="983" ht="15.75" customHeight="1" s="19"/>
    <row r="984" ht="15.75" customHeight="1" s="19"/>
    <row r="985" ht="15.75" customHeight="1" s="19"/>
    <row r="986" ht="15.75" customHeight="1" s="19"/>
    <row r="987" ht="15.75" customHeight="1" s="19"/>
    <row r="988" ht="15.75" customHeight="1" s="19"/>
    <row r="989" ht="15.75" customHeight="1" s="19"/>
    <row r="990" ht="15.75" customHeight="1" s="19"/>
    <row r="991" ht="15.75" customHeight="1" s="19"/>
    <row r="992" ht="15.75" customHeight="1" s="19"/>
    <row r="993" ht="15.75" customHeight="1" s="19"/>
    <row r="994" ht="15.75" customHeight="1" s="19"/>
    <row r="995" ht="15.75" customHeight="1" s="19"/>
    <row r="996" ht="15.75" customHeight="1" s="19"/>
    <row r="997" ht="15.75" customHeight="1" s="19"/>
    <row r="998" ht="15.75" customHeight="1" s="19"/>
    <row r="999" ht="15.75" customHeight="1" s="19"/>
    <row r="1000" ht="15.75" customHeight="1" s="19"/>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2026-10-26T07:34:27Z</dcterms:created>
  <dcterms:modified xmlns:dcterms="http://purl.org/dc/terms/" xmlns:xsi="http://www.w3.org/2001/XMLSchema-instance" xsi:type="dcterms:W3CDTF">2026-10-30T05:34:22Z</dcterms:modified>
</cp:coreProperties>
</file>